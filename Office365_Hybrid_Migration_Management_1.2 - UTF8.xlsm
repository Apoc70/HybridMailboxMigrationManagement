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queryTables/queryTable2.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pivotTables/pivotTable1.xml" ContentType="application/vnd.openxmlformats-officedocument.spreadsheetml.pivotTable+xml"/>
  <Override PartName="/xl/drawings/drawing6.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Repositories\HybridMailboxMigrationManagement\"/>
    </mc:Choice>
  </mc:AlternateContent>
  <bookViews>
    <workbookView xWindow="0" yWindow="0" windowWidth="28800" windowHeight="12590"/>
  </bookViews>
  <sheets>
    <sheet name="Info" sheetId="7" r:id="rId1"/>
    <sheet name="Mailboxes" sheetId="1" r:id="rId2"/>
    <sheet name="Planned_Batch" sheetId="3" r:id="rId3"/>
    <sheet name="Moved" sheetId="2" r:id="rId4"/>
    <sheet name="Move_Request_Statistics" sheetId="5" r:id="rId5"/>
    <sheet name="License_Report" sheetId="9" r:id="rId6"/>
    <sheet name="Licensing Pivot Chart" sheetId="11" r:id="rId7"/>
    <sheet name="Version Changes" sheetId="6" r:id="rId8"/>
    <sheet name="Scripts" sheetId="8" state="hidden" r:id="rId9"/>
  </sheets>
  <functionGroups builtInGroupCount="18"/>
  <externalReferences>
    <externalReference r:id="rId10"/>
  </externalReferences>
  <definedNames>
    <definedName name="_xlnm._FilterDatabase" localSheetId="5" hidden="1">License_Report!$A$1:$D$1</definedName>
    <definedName name="_xlnm._FilterDatabase" localSheetId="1" hidden="1">Mailboxes!#REF!</definedName>
    <definedName name="CAPTURE" localSheetId="5">License_Report!$A$1:$E$1335</definedName>
    <definedName name="CAPTURE" localSheetId="1">Mailboxes!#REF!</definedName>
    <definedName name="CAPTURE" localSheetId="4">Move_Request_Statistics!$A$1:$E$1</definedName>
    <definedName name="CAPTURE_1" localSheetId="5">License_Report!#REF!</definedName>
    <definedName name="CAPTURE_1" localSheetId="1">Mailboxes!#REF!</definedName>
    <definedName name="CAPTURE_1" localSheetId="4">Move_Request_Statistics!#REF!</definedName>
    <definedName name="CAPTURE_10" localSheetId="5">License_Report!$A$1:$D$1</definedName>
    <definedName name="CAPTURE_10" localSheetId="1">Mailboxes!#REF!</definedName>
    <definedName name="CAPTURE_10" localSheetId="4">Move_Request_Statistics!$A$1:$E$1</definedName>
    <definedName name="CAPTURE_11" localSheetId="5">License_Report!$A$1:$D$1</definedName>
    <definedName name="CAPTURE_11" localSheetId="1">Mailboxes!#REF!</definedName>
    <definedName name="CAPTURE_11" localSheetId="4">Move_Request_Statistics!$A$1:$E$1</definedName>
    <definedName name="CAPTURE_12" localSheetId="5">License_Report!$A$1:$D$1</definedName>
    <definedName name="CAPTURE_12" localSheetId="1">Mailboxes!#REF!</definedName>
    <definedName name="CAPTURE_12" localSheetId="4">Move_Request_Statistics!$A$1:$E$1</definedName>
    <definedName name="CAPTURE_13" localSheetId="5">License_Report!$A$1:$D$1</definedName>
    <definedName name="CAPTURE_13" localSheetId="1">Mailboxes!#REF!</definedName>
    <definedName name="CAPTURE_13" localSheetId="4">Move_Request_Statistics!$A$1:$E$1</definedName>
    <definedName name="CAPTURE_14" localSheetId="5">License_Report!$A$1:$D$1</definedName>
    <definedName name="CAPTURE_14" localSheetId="1">Mailboxes!#REF!</definedName>
    <definedName name="CAPTURE_14" localSheetId="4">Move_Request_Statistics!$A$1:$E$1</definedName>
    <definedName name="CAPTURE_15" localSheetId="5">License_Report!$A$1:$D$1</definedName>
    <definedName name="CAPTURE_15" localSheetId="1">Mailboxes!#REF!</definedName>
    <definedName name="CAPTURE_15" localSheetId="4">Move_Request_Statistics!$A$1:$E$1</definedName>
    <definedName name="CAPTURE_16" localSheetId="5">License_Report!$A$1:$D$1</definedName>
    <definedName name="CAPTURE_16" localSheetId="1">Mailboxes!#REF!</definedName>
    <definedName name="CAPTURE_16" localSheetId="4">Move_Request_Statistics!$A$1:$E$69</definedName>
    <definedName name="CAPTURE_17" localSheetId="5">License_Report!$A$1:$D$1</definedName>
    <definedName name="CAPTURE_17" localSheetId="1">Mailboxes!#REF!</definedName>
    <definedName name="CAPTURE_17" localSheetId="4">Move_Request_Statistics!$A$1:$E$69</definedName>
    <definedName name="CAPTURE_18" localSheetId="5">License_Report!$A$1:$D$1</definedName>
    <definedName name="CAPTURE_18" localSheetId="1">Mailboxes!#REF!</definedName>
    <definedName name="CAPTURE_19" localSheetId="5">License_Report!$A$1:$D$1</definedName>
    <definedName name="CAPTURE_19" localSheetId="1">Mailboxes!#REF!</definedName>
    <definedName name="CAPTURE_2" localSheetId="5">License_Report!$A$1:$D$1</definedName>
    <definedName name="CAPTURE_2" localSheetId="1">Mailboxes!#REF!</definedName>
    <definedName name="CAPTURE_2" localSheetId="4">Move_Request_Statistics!#REF!</definedName>
    <definedName name="CAPTURE_20" localSheetId="5">License_Report!$A$1:$D$1</definedName>
    <definedName name="CAPTURE_20" localSheetId="1">Mailboxes!#REF!</definedName>
    <definedName name="CAPTURE_21" localSheetId="5">License_Report!$A$1:$D$1</definedName>
    <definedName name="CAPTURE_21" localSheetId="1">Mailboxes!#REF!</definedName>
    <definedName name="CAPTURE_22" localSheetId="5">License_Report!$A$1:$D$1</definedName>
    <definedName name="CAPTURE_22" localSheetId="1">Mailboxes!#REF!</definedName>
    <definedName name="CAPTURE_23" localSheetId="5">License_Report!$A$1:$D$1</definedName>
    <definedName name="CAPTURE_23" localSheetId="1">Mailboxes!#REF!</definedName>
    <definedName name="CAPTURE_24" localSheetId="5">License_Report!$A$1:$D$1</definedName>
    <definedName name="CAPTURE_24" localSheetId="1">Mailboxes!#REF!</definedName>
    <definedName name="CAPTURE_25" localSheetId="5">License_Report!$A$1:$D$8042</definedName>
    <definedName name="CAPTURE_25" localSheetId="1">Mailboxes!$B$1:$H$1111</definedName>
    <definedName name="CAPTURE_3" localSheetId="5">License_Report!$A$1:$D$1</definedName>
    <definedName name="CAPTURE_3" localSheetId="1">Mailboxes!#REF!</definedName>
    <definedName name="CAPTURE_3" localSheetId="4">Move_Request_Statistics!$A$1:$D$1</definedName>
    <definedName name="CAPTURE_4" localSheetId="5">License_Report!$A$1:$D$1</definedName>
    <definedName name="CAPTURE_4" localSheetId="1">Mailboxes!#REF!</definedName>
    <definedName name="CAPTURE_4" localSheetId="4">Move_Request_Statistics!$A$1:$D$1</definedName>
    <definedName name="CAPTURE_5" localSheetId="5">License_Report!$A$1:$D$1</definedName>
    <definedName name="CAPTURE_5" localSheetId="1">Mailboxes!#REF!</definedName>
    <definedName name="CAPTURE_5" localSheetId="4">Move_Request_Statistics!$A$1:$D$1</definedName>
    <definedName name="CAPTURE_6" localSheetId="5">License_Report!$A$1:$D$1</definedName>
    <definedName name="CAPTURE_6" localSheetId="1">Mailboxes!#REF!</definedName>
    <definedName name="CAPTURE_6" localSheetId="4">Move_Request_Statistics!$A$1:$D$1</definedName>
    <definedName name="CAPTURE_7" localSheetId="5">License_Report!$A$1:$D$1</definedName>
    <definedName name="CAPTURE_7" localSheetId="1">Mailboxes!#REF!</definedName>
    <definedName name="CAPTURE_7" localSheetId="4">Move_Request_Statistics!$A$1:$D$1</definedName>
    <definedName name="CAPTURE_8" localSheetId="5">License_Report!$A$1:$D$1</definedName>
    <definedName name="CAPTURE_8" localSheetId="1">Mailboxes!#REF!</definedName>
    <definedName name="CAPTURE_8" localSheetId="4">Move_Request_Statistics!$A$1:$D$1</definedName>
    <definedName name="CAPTURE_9" localSheetId="1">Mailboxes!#REF!</definedName>
    <definedName name="CAPTURE_9" localSheetId="4">Move_Request_Statistics!$A$1:$E$1</definedName>
    <definedName name="Current_Version">'[1]Version Changes'!$D$31</definedName>
    <definedName name="New_Text_Document" localSheetId="2">Planned_Batch!$O$1:$P$26</definedName>
  </definedNames>
  <calcPr calcId="162913"/>
  <pivotCaches>
    <pivotCache cacheId="0" r:id="rId11"/>
  </pivotCaches>
</workbook>
</file>

<file path=xl/calcChain.xml><?xml version="1.0" encoding="utf-8"?>
<calcChain xmlns="http://schemas.openxmlformats.org/spreadsheetml/2006/main">
  <c r="A1" i="7" l="1"/>
  <c r="K26" i="3" l="1"/>
  <c r="K25" i="3"/>
  <c r="L11" i="3" l="1"/>
  <c r="L20" i="3" l="1"/>
  <c r="J3" i="5" l="1"/>
  <c r="J4" i="5"/>
  <c r="L17" i="3" l="1"/>
  <c r="L10" i="3" l="1"/>
  <c r="L23" i="3" s="1"/>
  <c r="F1" i="2" l="1"/>
</calcChain>
</file>

<file path=xl/comments1.xml><?xml version="1.0" encoding="utf-8"?>
<comments xmlns="http://schemas.openxmlformats.org/spreadsheetml/2006/main">
  <authors>
    <author>Michael Hall (MCS)</author>
  </authors>
  <commentList>
    <comment ref="K12" authorId="0" shapeId="0">
      <text>
        <r>
          <rPr>
            <b/>
            <sz val="9"/>
            <color indexed="81"/>
            <rFont val="Tahoma"/>
            <family val="2"/>
          </rPr>
          <t>Michael Hall (MCS):</t>
        </r>
        <r>
          <rPr>
            <sz val="9"/>
            <color indexed="81"/>
            <rFont val="Tahoma"/>
            <family val="2"/>
          </rPr>
          <t xml:space="preserve">
Get an average transfer rate from the Move_Request_Statistics Sheet. You need to move some mailboxes to populate statistics</t>
        </r>
      </text>
    </comment>
    <comment ref="K13" authorId="0" shapeId="0">
      <text>
        <r>
          <rPr>
            <b/>
            <sz val="9"/>
            <color indexed="81"/>
            <rFont val="Tahoma"/>
            <family val="2"/>
          </rPr>
          <t>Michael Hall (MCS):</t>
        </r>
        <r>
          <rPr>
            <sz val="9"/>
            <color indexed="81"/>
            <rFont val="Tahoma"/>
            <family val="2"/>
          </rPr>
          <t xml:space="preserve">
How many concurrent moves at one time?</t>
        </r>
      </text>
    </comment>
    <comment ref="K14" authorId="0" shapeId="0">
      <text>
        <r>
          <rPr>
            <b/>
            <sz val="9"/>
            <color indexed="81"/>
            <rFont val="Tahoma"/>
            <family val="2"/>
          </rPr>
          <t>Michael Hall (MCS):</t>
        </r>
        <r>
          <rPr>
            <sz val="9"/>
            <color indexed="81"/>
            <rFont val="Tahoma"/>
            <family val="2"/>
          </rPr>
          <t xml:space="preserve">
Enter your hybrid namespace in this cell. E.g webmail.contoso.com or hybrid.contoso.com depending on your configuration</t>
        </r>
      </text>
    </comment>
    <comment ref="K15" authorId="0" shapeId="0">
      <text>
        <r>
          <rPr>
            <b/>
            <sz val="9"/>
            <color indexed="81"/>
            <rFont val="Tahoma"/>
            <family val="2"/>
          </rPr>
          <t>Michael Hall (MCS):</t>
        </r>
        <r>
          <rPr>
            <sz val="9"/>
            <color indexed="81"/>
            <rFont val="Tahoma"/>
            <family val="2"/>
          </rPr>
          <t xml:space="preserve">
Enter your target deliver domain in this cell. E.g. contoso.mail.onmicrosoft.com</t>
        </r>
      </text>
    </comment>
    <comment ref="K16" authorId="0" shapeId="0">
      <text>
        <r>
          <rPr>
            <b/>
            <sz val="9"/>
            <color indexed="81"/>
            <rFont val="Tahoma"/>
            <family val="2"/>
          </rPr>
          <t>Michael Hall (MCS):</t>
        </r>
        <r>
          <rPr>
            <sz val="9"/>
            <color indexed="81"/>
            <rFont val="Tahoma"/>
            <family val="2"/>
          </rPr>
          <t xml:space="preserve">
Select your AccountSKU for the license assignment. Granular license assignment is not available.
"DESKLESSPACK,"Office 365 (Plan K1)" 
"DESKLESSWOFFPACK" = "Office 365 (Plan K2)" 
"EXCHANGESTANDARD" = "Exchange Online (Plan 1)"
"EXCHANGEENTERPRISE" = "Exchange Online (Plan 2)"
"EXCHANGEARCHIVE" = "Exchange Online Archiving"
"EXCHANGETELCO" = "Exchange Online POP"
"STANDARDPACK" = "Microsoft Office 365 (Plan E1)"
"STANDARDWOFFPACK" = "Microsoft Office 365 (Plan E2)"
"ENTERPRISEPACK" = "Microsoft Office 365 (Plan E3)"
"ENTERPRISEWITHSCAL" = "Microsoft Office 365 (Plan E4)"
"STANDARDPACK_STUDENT" = "Microsoft Office 365 (Plan A1) for Students"
"STANDARDWOFFPACKPACK_STUDENT" = "Microsoft Office 365 (Plan A2) for Students"
"ENTERPRISEPACK_STUDENT" = "Microsoft Office 365 (Plan A3) for Students"
"ENTERPRISEWITHSCAL_STUDENT" = "Microsoft Office 365 (Plan A4) for Students"
"STANDARDPACK_FACULTY" = "Microsoft Microsoft Office 365 (Plan A1) for Faculty"
"ENTERPRISEPACK_FACULTY" = "Microsoft Office 365 (Plan A3) for Faculty"
"ENTERPRISEWITHSCAL_FACULTY" = "Microsoft Office 365 (Plan A4) for Faculty"
"DESKLESSPACK_GOV" = "Microsoft Office 365 (Plan K1) for Government
"DESKLESSWOFFPACK_GOV" = "Microsoft Office 365 (Plan K2) for Government" 
"OFFICESUBSCRIPTION_GOV" = "Office Professional Plus"
"EXCHANGESTANDARD_GOV" = "Microsoft Office 365 Exchange Online (Plan 1) only for Government"
"EXCHANGEENTERPRISE_GOV" = "Microsoft Office 365 Exchange Online (Plan 2) only for Government"
"STANDARDPACK_GOV" = "Microsoft Office 365 (Plan G1) for Government"
"STANDARDWOFFPACK_GOV" = "Microsoft Office 365 (Plan G2) for Government"
"ENTERPRISEPACK_GOV" = "Microsoft Office 365 (Plan G3) for Government"
"ENTERPRISEWITHSCAL_GOV" = "Microsoft Office 365 (Plan G4) for Government"</t>
        </r>
      </text>
    </comment>
    <comment ref="K18" authorId="0" shapeId="0">
      <text>
        <r>
          <rPr>
            <b/>
            <sz val="9"/>
            <color indexed="81"/>
            <rFont val="Tahoma"/>
            <family val="2"/>
          </rPr>
          <t>Michael Hall (MCS):</t>
        </r>
        <r>
          <rPr>
            <sz val="9"/>
            <color indexed="81"/>
            <rFont val="Tahoma"/>
            <family val="2"/>
          </rPr>
          <t xml:space="preserve">
What is the bad item limit you want to set for each move.</t>
        </r>
      </text>
    </comment>
    <comment ref="K19" authorId="0" shapeId="0">
      <text>
        <r>
          <rPr>
            <b/>
            <sz val="9"/>
            <color indexed="81"/>
            <rFont val="Tahoma"/>
            <family val="2"/>
          </rPr>
          <t>Michael Hall (MCS):</t>
        </r>
        <r>
          <rPr>
            <sz val="9"/>
            <color indexed="81"/>
            <rFont val="Tahoma"/>
            <family val="2"/>
          </rPr>
          <t xml:space="preserve">
Select the location for the batch of users. This is important, becausee the usagelocation will determine the services available for these users.</t>
        </r>
      </text>
    </comment>
    <comment ref="K21" authorId="0" shapeId="0">
      <text>
        <r>
          <rPr>
            <b/>
            <sz val="9"/>
            <color indexed="81"/>
            <rFont val="Tahoma"/>
            <family val="2"/>
          </rPr>
          <t>Michael Hall (MCS):</t>
        </r>
        <r>
          <rPr>
            <sz val="9"/>
            <color indexed="81"/>
            <rFont val="Tahoma"/>
            <family val="2"/>
          </rPr>
          <t xml:space="preserve">
If this is selected the moves will AutoSuspend before Finalization. Administrator will need to resume the moves once he/she is ready for the move finalization and profile switch on client side.</t>
        </r>
      </text>
    </comment>
    <comment ref="K22" authorId="0" shapeId="0">
      <text>
        <r>
          <rPr>
            <b/>
            <sz val="9"/>
            <color indexed="81"/>
            <rFont val="Tahoma"/>
            <family val="2"/>
          </rPr>
          <t>Michael Hall (MCS):</t>
        </r>
        <r>
          <rPr>
            <sz val="9"/>
            <color indexed="81"/>
            <rFont val="Tahoma"/>
            <family val="2"/>
          </rPr>
          <t xml:space="preserve">
If this is selected the move request will finalize and not autosuspend.</t>
        </r>
      </text>
    </comment>
    <comment ref="K24" authorId="0" shapeId="0">
      <text>
        <r>
          <rPr>
            <b/>
            <sz val="9"/>
            <color indexed="81"/>
            <rFont val="Tahoma"/>
            <family val="2"/>
          </rPr>
          <t>Michael Hall (MCS):</t>
        </r>
        <r>
          <rPr>
            <sz val="9"/>
            <color indexed="81"/>
            <rFont val="Tahoma"/>
            <family val="2"/>
          </rPr>
          <t xml:space="preserve">
How many large items should the move request skip? !!!!!IMPORTANT!!!!! THIS PARAMETER WILL SKIP ITEMS LARGER THAN THE THRESHOLD, DATA LOSS WILL OCCUR IF THE ITEMS SKIPPED ARE NOT BACKED UP FIRST</t>
        </r>
      </text>
    </comment>
  </commentList>
</comments>
</file>

<file path=xl/connections.xml><?xml version="1.0" encoding="utf-8"?>
<connections xmlns="http://schemas.openxmlformats.org/spreadsheetml/2006/main">
  <connection id="1" name="License_Statistics_2013-08-18_02-53-10_PM" type="6" refreshedVersion="4" deleted="1" background="1" saveData="1">
    <textPr prompt="0" codePage="437" sourceFile="C:\scripts\License_Statistics_2013-08-18_02-53-10_PM.csv" thousands=" " comma="1">
      <textFields count="5">
        <textField/>
        <textField/>
        <textField/>
        <textField/>
        <textField/>
      </textFields>
    </textPr>
  </connection>
  <connection id="2" name="License_Statistics_2013-08-18_02-53-10_PM1" type="6" refreshedVersion="4" deleted="1" background="1" saveData="1">
    <textPr prompt="0" codePage="437" sourceFile="C:\scripts\License_Statistics_2013-08-18_02-53-10_PM.csv" thousands=" " comma="1">
      <textFields count="5">
        <textField/>
        <textField/>
        <textField/>
        <textField/>
        <textField/>
      </textFields>
    </textPr>
  </connection>
  <connection id="3" name="License_Statistics_2013-08-18_02-53-10_PM2" type="6" refreshedVersion="4" deleted="1" background="1" saveData="1">
    <textPr prompt="0" codePage="437" sourceFile="C:\scripts\License_Statistics_2013-08-18_02-53-10_PM.csv" thousands=" " comma="1">
      <textFields count="5">
        <textField/>
        <textField/>
        <textField/>
        <textField/>
        <textField/>
      </textFields>
    </textPr>
  </connection>
  <connection id="4" name="License_Statistics_2013-08-18_02-53-10_PM3" type="6" refreshedVersion="4" deleted="1" background="1" saveData="1">
    <textPr prompt="0" codePage="437" sourceFile="C:\scripts\License_Statistics_2013-08-18_02-53-10_PM.csv" thousands=" " comma="1">
      <textFields count="5">
        <textField/>
        <textField/>
        <textField/>
        <textField/>
        <textField/>
      </textFields>
    </textPr>
  </connection>
  <connection id="5" name="License_Statistics_2013-08-18_02-53-10_PM4" type="6" refreshedVersion="4" deleted="1" background="1" saveData="1">
    <textPr prompt="0" codePage="437" sourceFile="C:\scripts\License_Statistics_2013-08-18_02-53-10_PM.csv" thousands=" " comma="1">
      <textFields count="5">
        <textField/>
        <textField/>
        <textField/>
        <textField/>
        <textField/>
      </textFields>
    </textPr>
  </connection>
  <connection id="6" name="License_Statistics_2013-08-18_02-53-10_PM5" type="6" refreshedVersion="4" deleted="1" background="1" saveData="1">
    <textPr prompt="0" codePage="437" sourceFile="C:\scripts\License_Statistics_2013-08-18_02-53-10_PM.csv" thousands=" " comma="1">
      <textFields count="5">
        <textField/>
        <textField/>
        <textField/>
        <textField/>
        <textField/>
      </textFields>
    </textPr>
  </connection>
  <connection id="7" name="License_Statistics_2013-08-18_05-19-32_PM" type="6" refreshedVersion="4" deleted="1" background="1" saveData="1">
    <textPr prompt="0" codePage="437" sourceFile="C:\scripts\License_Statistics_2013-08-18_05-19-32_PM.csv" thousands=" " comma="1">
      <textFields count="5">
        <textField/>
        <textField/>
        <textField/>
        <textField/>
        <textField/>
      </textFields>
    </textPr>
  </connection>
  <connection id="8" name="License_Statistics_2013-08-18_05-27-27_PM" type="6" refreshedVersion="4" deleted="1" background="1" saveData="1">
    <textPr prompt="0" codePage="437" sourceFile="C:\TEMP\License_Statistics_2013-08-18_05-27-27_PM.csv" thousands=" " comma="1">
      <textFields count="5">
        <textField/>
        <textField/>
        <textField/>
        <textField/>
        <textField/>
      </textFields>
    </textPr>
  </connection>
  <connection id="9" name="License_Statistics_2013-08-18_05-35-51_PM" type="6" refreshedVersion="4" deleted="1" background="1" saveData="1">
    <textPr prompt="0" codePage="437" sourceFile="C:\scripts\License_Statistics_2013-08-18_05-35-51_PM.csv" thousands=" " comma="1">
      <textFields count="5">
        <textField/>
        <textField/>
        <textField/>
        <textField/>
        <textField/>
      </textFields>
    </textPr>
  </connection>
  <connection id="10" name="License_Statistics_2013-08-19_07-39-52_PM" type="6" refreshedVersion="5" deleted="1" background="1" saveData="1">
    <textPr prompt="0" codePage="437" sourceFile="C:\scripts\License_Statistics_2013-08-19_07-39-52_PM.csv" thousands=" " comma="1">
      <textFields count="5">
        <textField/>
        <textField/>
        <textField/>
        <textField/>
        <textField/>
      </textFields>
    </textPr>
  </connection>
  <connection id="11" name="License_Statistics_2013-08-29_10-57-10_AM" type="6" refreshedVersion="4" deleted="1" background="1" saveData="1">
    <textPr prompt="0" codePage="437" sourceFile="C:\scripts\License_Statistics_2013-08-29_10-57-10_AM.csv" thousands=" " comma="1">
      <textFields count="5">
        <textField/>
        <textField/>
        <textField/>
        <textField/>
        <textField/>
      </textFields>
    </textPr>
  </connection>
  <connection id="12" name="Mailboxes_Output9" type="6" refreshedVersion="4" deleted="1" background="1" saveData="1">
    <textPr prompt="0" codePage="437" sourceFile="F:\SkyDrive\Office 365\Mailbox Migration Management\Mailboxes_Output.csv" thousands=" " comma="1">
      <textFields count="6">
        <textField/>
        <textField/>
        <textField/>
        <textField/>
        <textField/>
        <textField/>
      </textFields>
    </textPr>
  </connection>
  <connection id="13" name="Move_Request_Stats_2013-05-18_05-46-26_PM" type="6" refreshedVersion="5" deleted="1" background="1" saveData="1">
    <textPr prompt="0" codePage="437" sourceFile="C:\scripts\Move_Request_Stats_2013-05-18_05-46-26_PM.csv" thousands=" " comma="1">
      <textFields count="4">
        <textField/>
        <textField/>
        <textField/>
        <textField/>
      </textFields>
    </textPr>
  </connection>
  <connection id="14" name="Move_Request_Stats_2013-05-18_08-45-56_PM" type="6" refreshedVersion="5" deleted="1" background="1" saveData="1">
    <textPr prompt="0" codePage="437" sourceFile="C:\scripts\Move_Request_Stats_2013-05-18_08-45-56_PM.csv" thousands=" " comma="1">
      <textFields count="4">
        <textField/>
        <textField/>
        <textField/>
        <textField/>
      </textFields>
    </textPr>
  </connection>
  <connection id="15" name="Move_Request_Stats_2013-05-18_08-49-45_PM" type="6" refreshedVersion="5" deleted="1" background="1" saveData="1">
    <textPr prompt="0" codePage="437" sourceFile="C:\scripts\Move_Request_Stats_2013-05-18_08-49-45_PM.csv" thousands=" " comma="1">
      <textFields count="4">
        <textField/>
        <textField/>
        <textField/>
        <textField/>
      </textFields>
    </textPr>
  </connection>
  <connection id="16" name="Move_Request_Stats_2013-05-18_09-03-42_PM" type="6" refreshedVersion="5" deleted="1" background="1" saveData="1">
    <textPr prompt="0" codePage="437" sourceFile="C:\scripts\Move_Request_Stats_2013-05-18_09-03-42_PM.csv" thousands=" " comma="1">
      <textFields count="4">
        <textField/>
        <textField/>
        <textField/>
        <textField/>
      </textFields>
    </textPr>
  </connection>
  <connection id="17" name="Move_Request_Stats_2013-05-18_11-42-26_PM" type="6" refreshedVersion="5" deleted="1" background="1" saveData="1">
    <textPr prompt="0" codePage="437" sourceFile="C:\scripts\Move_Request_Stats_2013-05-18_11-42-26_PM.csv" thousands=" " comma="1">
      <textFields count="5">
        <textField/>
        <textField/>
        <textField/>
        <textField/>
        <textField/>
      </textFields>
    </textPr>
  </connection>
  <connection id="18" name="Move_Request_Stats_2013-06-18_08-02-15_PM" type="6" refreshedVersion="5" deleted="1" background="1" saveData="1">
    <textPr prompt="0" codePage="437" sourceFile="C:\scripts\Move_Request_Stats_2013-06-18_08-02-15_PM.csv" thousands=" " comma="1">
      <textFields count="5">
        <textField/>
        <textField/>
        <textField/>
        <textField/>
        <textField/>
      </textFields>
    </textPr>
  </connection>
  <connection id="19" name="Move_Request_Stats_2013-08-06_08-50-05_AM" type="6" refreshedVersion="4" deleted="1" background="1" saveData="1">
    <textPr prompt="0" codePage="437" sourceFile="C:\scripts\Move_Request_Stats_2013-08-06_08-50-05_AM.csv" thousands=" " comma="1">
      <textFields count="4">
        <textField/>
        <textField/>
        <textField/>
        <textField/>
      </textFields>
    </textPr>
  </connection>
  <connection id="20" name="Move_Request_Stats_2013-08-06_11-32-06_AM" type="6" refreshedVersion="4" deleted="1" background="1" saveData="1">
    <textPr prompt="0" codePage="437" sourceFile="C:\scripts\Move_Request_Stats_2013-08-06_11-32-06_AM.csv" thousands=" " comma="1">
      <textFields count="5">
        <textField/>
        <textField/>
        <textField/>
        <textField/>
        <textField/>
      </textFields>
    </textPr>
  </connection>
  <connection id="21" name="Move_Request_Stats_2013-08-06_11-36-37_AM" type="6" refreshedVersion="4" deleted="1" background="1" saveData="1">
    <textPr prompt="0" codePage="437" sourceFile="C:\scripts\Move_Request_Stats_2013-08-06_11-36-37_AM.csv" thousands=" " comma="1">
      <textFields count="5">
        <textField/>
        <textField/>
        <textField/>
        <textField/>
        <textField/>
      </textFields>
    </textPr>
  </connection>
  <connection id="22" name="Move_Request_Stats_2013-08-22_07-16-17_PM" type="6" refreshedVersion="5" deleted="1" background="1" saveData="1">
    <textPr prompt="0" codePage="437" sourceFile="C:\scripts\Move_Request_Stats_2013-08-22_07-16-17_PM.csv" thousands=" " comma="1">
      <textFields count="5">
        <textField/>
        <textField/>
        <textField/>
        <textField/>
        <textField/>
      </textFields>
    </textPr>
  </connection>
  <connection id="23" name="Move_Request_Stats_2013-08-22_07-28-18_PM" type="6" refreshedVersion="5" deleted="1" background="1" saveData="1">
    <textPr prompt="0" codePage="437" sourceFile="C:\scripts\Move_Request_Stats_2013-08-22_07-28-18_PM.csv" thousands=" " comma="1">
      <textFields count="5">
        <textField/>
        <textField/>
        <textField/>
        <textField/>
        <textField/>
      </textFields>
    </textPr>
  </connection>
  <connection id="24" name="Move_Request_Stats_2013-08-22_07-28-18_PM1" type="6" refreshedVersion="5" deleted="1" background="1" saveData="1">
    <textPr prompt="0" codePage="437" sourceFile="C:\scripts\Move_Request_Stats_2013-08-22_07-28-18_PM.csv" thousands=" " comma="1">
      <textFields count="5">
        <textField/>
        <textField/>
        <textField/>
        <textField/>
        <textField/>
      </textFields>
    </textPr>
  </connection>
  <connection id="25" name="Move_Request_Stats_2013-08-28_02-41-05_PM" type="6" refreshedVersion="4" deleted="1" background="1" saveData="1">
    <textPr prompt="0" codePage="437" sourceFile="C:\scripts\Move_Request_Stats_2013-08-28_02-41-05_PM.csv" thousands=" " comma="1">
      <textFields count="5">
        <textField/>
        <textField/>
        <textField/>
        <textField/>
        <textField/>
      </textFields>
    </textPr>
  </connection>
  <connection id="26" name="Move_Request_Stats_2013-08-28_02-43-14_PM" type="6" refreshedVersion="4" deleted="1" background="1" saveData="1">
    <textPr prompt="0" codePage="437" sourceFile="C:\scripts\Move_Request_Stats_2013-08-28_02-43-14_PM.csv" thousands=" " comma="1">
      <textFields count="5">
        <textField/>
        <textField/>
        <textField/>
        <textField/>
        <textField/>
      </textFields>
    </textPr>
  </connection>
  <connection id="27" name="New Text Document1" type="6" refreshedVersion="4" deleted="1" background="1" saveData="1">
    <textPr codePage="437" sourceFile="C:\Users\MavRiK\Documents\New Text Document.txt" thousands=" " comma="1">
      <textFields count="2">
        <textField/>
        <textField/>
      </textFields>
    </textPr>
  </connection>
  <connection id="28" name="Office_365_Licenses" type="6" refreshedVersion="5" deleted="1" background="1" saveData="1">
    <textPr prompt="0" codePage="437" sourceFile="C:\Temp\Office_365_Licenses.csv" thousands=" " comma="1">
      <textFields count="5">
        <textField/>
        <textField/>
        <textField/>
        <textField/>
        <textField/>
      </textFields>
    </textPr>
  </connection>
  <connection id="29" name="temp3" type="6" refreshedVersion="5" deleted="1" background="1" saveData="1">
    <textPr prompt="0" codePage="437" sourceFile="C:\Temp\temp.csv" thousands=" " comma="1">
      <textFields count="4">
        <textField/>
        <textField/>
        <textField/>
        <textField/>
      </textFields>
    </textPr>
  </connection>
  <connection id="30" name="temp4" type="6" refreshedVersion="5" deleted="1" background="1" saveData="1">
    <textPr prompt="0" codePage="437" sourceFile="C:\Temp\temp.csv" thousands=" " comma="1">
      <textFields count="4">
        <textField/>
        <textField/>
        <textField/>
        <textField/>
      </textFields>
    </textPr>
  </connection>
  <connection id="31" name="test1" type="6" refreshedVersion="4" deleted="1" background="1" saveData="1">
    <textPr prompt="0" codePage="437" sourceFile="C:\TEMP\test.csv" thousands=" " comma="1">
      <textFields count="5">
        <textField/>
        <textField/>
        <textField/>
        <textField/>
        <textField/>
      </textFields>
    </textPr>
  </connection>
  <connection id="32" name="test10" type="6" refreshedVersion="4" deleted="1" background="1" saveData="1">
    <textPr prompt="0" codePage="437" sourceFile="C:\TEMP\test.csv" thousands=" " comma="1">
      <textFields count="5">
        <textField/>
        <textField/>
        <textField/>
        <textField/>
        <textField/>
      </textFields>
    </textPr>
  </connection>
  <connection id="33" name="test11" type="6" refreshedVersion="4" deleted="1" background="1" saveData="1">
    <textPr prompt="0" codePage="437" sourceFile="C:\TEMP\test.csv" thousands=" " comma="1">
      <textFields count="5">
        <textField/>
        <textField/>
        <textField/>
        <textField/>
        <textField/>
      </textFields>
    </textPr>
  </connection>
  <connection id="34" name="test12" type="6" refreshedVersion="4" deleted="1" background="1" saveData="1">
    <textPr prompt="0" codePage="437" sourceFile="C:\TEMP\test.csv" thousands=" " comma="1">
      <textFields count="5">
        <textField/>
        <textField/>
        <textField/>
        <textField/>
        <textField/>
      </textFields>
    </textPr>
  </connection>
  <connection id="35" name="test2" type="6" refreshedVersion="4" deleted="1" background="1" saveData="1">
    <textPr prompt="0" codePage="437" sourceFile="C:\TEMP\test.csv" thousands=" " comma="1">
      <textFields count="5">
        <textField/>
        <textField/>
        <textField/>
        <textField/>
        <textField/>
      </textFields>
    </textPr>
  </connection>
  <connection id="36" name="test3" type="6" refreshedVersion="4" deleted="1" background="1" saveData="1">
    <textPr prompt="0" codePage="437" sourceFile="C:\TEMP\test.csv" thousands=" " comma="1">
      <textFields count="5">
        <textField/>
        <textField/>
        <textField/>
        <textField/>
        <textField/>
      </textFields>
    </textPr>
  </connection>
  <connection id="37" name="test4" type="6" refreshedVersion="4" deleted="1" background="1" saveData="1">
    <textPr prompt="0" codePage="437" sourceFile="C:\TEMP\test.csv" thousands=" " comma="1">
      <textFields count="5">
        <textField/>
        <textField/>
        <textField/>
        <textField/>
        <textField/>
      </textFields>
    </textPr>
  </connection>
  <connection id="38" name="test5" type="6" refreshedVersion="4" deleted="1" background="1" saveData="1">
    <textPr prompt="0" codePage="437" sourceFile="C:\TEMP\test.csv" thousands=" " comma="1">
      <textFields count="5">
        <textField/>
        <textField/>
        <textField/>
        <textField/>
        <textField/>
      </textFields>
    </textPr>
  </connection>
  <connection id="39" name="test6" type="6" refreshedVersion="4" deleted="1" background="1" saveData="1">
    <textPr prompt="0" codePage="437" sourceFile="C:\TEMP\test.csv" thousands=" " comma="1">
      <textFields count="5">
        <textField/>
        <textField/>
        <textField/>
        <textField/>
        <textField/>
      </textFields>
    </textPr>
  </connection>
  <connection id="40" name="test7" type="6" refreshedVersion="4" deleted="1" background="1" saveData="1">
    <textPr prompt="0" codePage="437" sourceFile="C:\TEMP\test.csv" thousands=" " comma="1">
      <textFields count="5">
        <textField/>
        <textField/>
        <textField/>
        <textField/>
        <textField/>
      </textFields>
    </textPr>
  </connection>
  <connection id="41" name="test8" type="6" refreshedVersion="4" deleted="1" background="1" saveData="1">
    <textPr prompt="0" codePage="437" sourceFile="C:\TEMP\test.csv" thousands=" " comma="1">
      <textFields count="5">
        <textField/>
        <textField/>
        <textField/>
        <textField/>
        <textField/>
      </textFields>
    </textPr>
  </connection>
  <connection id="42" name="test9" type="6" refreshedVersion="4" deleted="1" background="1" saveData="1">
    <textPr prompt="0" codePage="437" sourceFile="C:\TEMP\test.csv" thousands=" " comma="1">
      <textFields count="5">
        <textField/>
        <textField/>
        <textField/>
        <textField/>
        <textField/>
      </textFields>
    </textPr>
  </connection>
</connections>
</file>

<file path=xl/sharedStrings.xml><?xml version="1.0" encoding="utf-8"?>
<sst xmlns="http://schemas.openxmlformats.org/spreadsheetml/2006/main" count="1151" uniqueCount="953">
  <si>
    <t>UPN</t>
  </si>
  <si>
    <t>DisplayName</t>
  </si>
  <si>
    <t>TotalItemSize(MB)</t>
  </si>
  <si>
    <t>Move_Variable</t>
  </si>
  <si>
    <t>ENTERPRISEPACK</t>
  </si>
  <si>
    <t>Michael Hall</t>
  </si>
  <si>
    <t>Total Data Moved (GB):</t>
  </si>
  <si>
    <t>Total Data to move (GB):</t>
  </si>
  <si>
    <t>Number of Scripts</t>
  </si>
  <si>
    <t>ScriptName</t>
  </si>
  <si>
    <t>Number of Lines</t>
  </si>
  <si>
    <t>Version</t>
  </si>
  <si>
    <t>Date</t>
  </si>
  <si>
    <t>Text</t>
  </si>
  <si>
    <t>cd \</t>
  </si>
  <si>
    <t>$adcred = get-credential</t>
  </si>
  <si>
    <t>1.0</t>
  </si>
  <si>
    <t>Estimated run time for this batch (hrs):</t>
  </si>
  <si>
    <t>Total Mailboxes:</t>
  </si>
  <si>
    <t>batch_move_onpremise_to_cloud.ps1</t>
  </si>
  <si>
    <t>batch_activate_licenses.ps1</t>
  </si>
  <si>
    <t>$cred=get-credential</t>
  </si>
  <si>
    <t>connect-msolservice -credential $cred</t>
  </si>
  <si>
    <t>import-module MSOnline</t>
  </si>
  <si>
    <t>EmailAddress</t>
  </si>
  <si>
    <t>Hybrid Namespace</t>
  </si>
  <si>
    <t>TargetDeliveryDomain</t>
  </si>
  <si>
    <t>Target Delivery Domain</t>
  </si>
  <si>
    <t>RemoteHostname</t>
  </si>
  <si>
    <t>function import_module($name)</t>
  </si>
  <si>
    <t>{</t>
  </si>
  <si>
    <t xml:space="preserve">    if (-not(Get-Module -Name $name))</t>
  </si>
  <si>
    <t xml:space="preserve">    {</t>
  </si>
  <si>
    <t xml:space="preserve">        if (Get-Module -ListAvailable | Where-Object { $_.name -eq $name })</t>
  </si>
  <si>
    <t xml:space="preserve">        {</t>
  </si>
  <si>
    <t xml:space="preserve">            Import-Module $name  </t>
  </si>
  <si>
    <t xml:space="preserve">            return $true</t>
  </si>
  <si>
    <t xml:space="preserve">        }</t>
  </si>
  <si>
    <t xml:space="preserve">        else</t>
  </si>
  <si>
    <t xml:space="preserve">        {   </t>
  </si>
  <si>
    <t xml:space="preserve">            return $false</t>
  </si>
  <si>
    <t xml:space="preserve">    }</t>
  </si>
  <si>
    <t xml:space="preserve">    else</t>
  </si>
  <si>
    <t xml:space="preserve">        return $true</t>
  </si>
  <si>
    <t>}</t>
  </si>
  <si>
    <t>function date_time()</t>
  </si>
  <si>
    <t xml:space="preserve">       $datetime = (Get-Date -UFormat "%Y-%m-%d_%I-%M-%S_%p").tostring()</t>
  </si>
  <si>
    <t xml:space="preserve">       return $datetime</t>
  </si>
  <si>
    <t>function check_moverequest ($UPN)</t>
  </si>
  <si>
    <t xml:space="preserve">       try</t>
  </si>
  <si>
    <t xml:space="preserve">       {</t>
  </si>
  <si>
    <t xml:space="preserve">       }</t>
  </si>
  <si>
    <t xml:space="preserve">       catch</t>
  </si>
  <si>
    <t xml:space="preserve">              {</t>
  </si>
  <si>
    <t xml:space="preserve">              }</t>
  </si>
  <si>
    <t xml:space="preserve">              </t>
  </si>
  <si>
    <t>$curdatetime = date_time</t>
  </si>
  <si>
    <t>[Array]$Mailboxes = Import-CSV $UPNFile</t>
  </si>
  <si>
    <t xml:space="preserve">Foreach ($Mailbox in $Mailboxes) </t>
  </si>
  <si>
    <t xml:space="preserve">       </t>
  </si>
  <si>
    <t xml:space="preserve">       if (!$checkCloudUPN.MailboxExists -and $checkCloudUPN.MailUserExists)</t>
  </si>
  <si>
    <t xml:space="preserve">              if ($checkMoveRequest.success -and $checkMoveRequest.status -like 'Completed*' )</t>
  </si>
  <si>
    <t xml:space="preserve">              else</t>
  </si>
  <si>
    <t>stop-transcript</t>
  </si>
  <si>
    <t>License</t>
  </si>
  <si>
    <t>EXCHANGESTANDARD</t>
  </si>
  <si>
    <t xml:space="preserve">             </t>
  </si>
  <si>
    <t xml:space="preserve">    $UPN = $Mailbox.UPN</t>
  </si>
  <si>
    <t xml:space="preserve">    $RemoteHostName = $Mailbox.RemoteHostName</t>
  </si>
  <si>
    <t xml:space="preserve">    $TargetDeliveryDomain = $Mailbox.TargetDeliveryDomain</t>
  </si>
  <si>
    <t xml:space="preserve">       elseif (!$checkCloudUPN.MailboxExists -and !$checkCloudUPN.MailUserExists)</t>
  </si>
  <si>
    <t xml:space="preserve">          </t>
  </si>
  <si>
    <t xml:space="preserve">                {</t>
  </si>
  <si>
    <t xml:space="preserve">                    </t>
  </si>
  <si>
    <r>
      <t>Export Scripts:</t>
    </r>
    <r>
      <rPr>
        <sz val="11"/>
        <color theme="1"/>
        <rFont val="Calibri"/>
        <family val="2"/>
        <scheme val="minor"/>
      </rPr>
      <t xml:space="preserve"> Exports scripts for manual running.</t>
    </r>
  </si>
  <si>
    <r>
      <t xml:space="preserve">Refresh: </t>
    </r>
    <r>
      <rPr>
        <sz val="11"/>
        <color theme="1"/>
        <rFont val="Calibri"/>
        <family val="2"/>
        <scheme val="minor"/>
      </rPr>
      <t>Updates list based on Move_Variable in Mailboxes sheet</t>
    </r>
  </si>
  <si>
    <r>
      <t xml:space="preserve">Migrate Mailboxes: </t>
    </r>
    <r>
      <rPr>
        <sz val="11"/>
        <color theme="1"/>
        <rFont val="Calibri"/>
        <family val="2"/>
        <scheme val="minor"/>
      </rPr>
      <t>Kicks off migrations for listed mailboxes.</t>
    </r>
  </si>
  <si>
    <t>Export current move request statistics to file</t>
  </si>
  <si>
    <t>Import move request file to start calculations</t>
  </si>
  <si>
    <t>OverallDuration</t>
  </si>
  <si>
    <t>MBTransferred</t>
  </si>
  <si>
    <t>MBPerMinute</t>
  </si>
  <si>
    <t>Average MB per minute</t>
  </si>
  <si>
    <t>Total GB Transferred</t>
  </si>
  <si>
    <t>param (</t>
  </si>
  <si>
    <t xml:space="preserve"> [string] $exportpath = ""</t>
  </si>
  <si>
    <t>)</t>
  </si>
  <si>
    <t>if ((get-pssession |where {$_.ComputerName -like '*outlook.com'} -ErrorAction SilentlyContinue) -eq $null)</t>
  </si>
  <si>
    <t xml:space="preserve">  Import-PSSession $ps</t>
  </si>
  <si>
    <t xml:space="preserve">            $SMTPs = $checkUser.EmailAddresses</t>
  </si>
  <si>
    <t xml:space="preserve">            Foreach ($SMTP in $SMTPs)</t>
  </si>
  <si>
    <t xml:space="preserve">            {</t>
  </si>
  <si>
    <t xml:space="preserve">                    $Return.MailboxExists = $False</t>
  </si>
  <si>
    <t xml:space="preserve">                    $Return.MailUserExists =  $True</t>
  </si>
  <si>
    <t xml:space="preserve">                    return $return</t>
  </si>
  <si>
    <t xml:space="preserve">                }                              </t>
  </si>
  <si>
    <t xml:space="preserve">            }</t>
  </si>
  <si>
    <t xml:space="preserve">            $curdatetime = date_time</t>
  </si>
  <si>
    <t xml:space="preserve">            try </t>
  </si>
  <si>
    <t xml:space="preserve">            {   </t>
  </si>
  <si>
    <t xml:space="preserve">                $curdatetime = date_time</t>
  </si>
  <si>
    <t xml:space="preserve">                $Return.MailUserExists = $False</t>
  </si>
  <si>
    <t xml:space="preserve">                $Return.MailboxExists =  $True                     </t>
  </si>
  <si>
    <t xml:space="preserve">                return $return</t>
  </si>
  <si>
    <t xml:space="preserve">            catch</t>
  </si>
  <si>
    <t xml:space="preserve">                $return.MailboxExists = $false</t>
  </si>
  <si>
    <t xml:space="preserve">                $return.MailUserExists = $false</t>
  </si>
  <si>
    <t xml:space="preserve">            return $return       </t>
  </si>
  <si>
    <t>$UPNFile = "$exportpath\CurrentBatch.csv"</t>
  </si>
  <si>
    <t>Start-Transcript $LogFile</t>
  </si>
  <si>
    <t xml:space="preserve">    </t>
  </si>
  <si>
    <t>notepad $LogFile</t>
  </si>
  <si>
    <t xml:space="preserve">              $checkMoveRequest = check_moverequest($UPN)</t>
  </si>
  <si>
    <t>$ExportFile = "$exportpath\Move_Request_Stats_$curdatetime.csv"</t>
  </si>
  <si>
    <t>$csvobject = @()</t>
  </si>
  <si>
    <t>foreach ($moveRequest in $moveRequestStats)</t>
  </si>
  <si>
    <t xml:space="preserve">   $ps=New-PSSession -Credential:(Get-Credential) -ConfigurationName Microsoft.Exchange -ConnectionUri https://ps.outlook.com/Powershell -AllowRedirection -Authentication basic</t>
  </si>
  <si>
    <t xml:space="preserve">   Import-PSSession $ps</t>
  </si>
  <si>
    <t xml:space="preserve">    $datetime = (Get-Date -UFormat "%Y-%m-%d_%I-%M-%S_%p").tostring()</t>
  </si>
  <si>
    <t xml:space="preserve">    return $datetime</t>
  </si>
  <si>
    <t xml:space="preserve">     $displayName = $moveRequest.DisplayName</t>
  </si>
  <si>
    <t xml:space="preserve">     $UPN = $moveRequest.UserPrincipalName</t>
  </si>
  <si>
    <t xml:space="preserve">     $bytesTransferredString = $moveRequest.bytesTransferred.toString()</t>
  </si>
  <si>
    <t xml:space="preserve">     if ($bytesTransferredString.indexof("GB") -gt 0)</t>
  </si>
  <si>
    <t xml:space="preserve">        $bytesTransferred = $bytesTransferredString.substring(0,$bytesTransferredString.indexof("MB"))</t>
  </si>
  <si>
    <t xml:space="preserve">        $bytesTransferred = $bytesTransferredString.substring(0,$bytesTransferredString.indexof("KB"))</t>
  </si>
  <si>
    <t xml:space="preserve">     </t>
  </si>
  <si>
    <t>$LogFile="$exportpath\Office365_Mailbox_Moves_$curdatetime.txt"</t>
  </si>
  <si>
    <t>$csvobject | Export-Csv "$ExportFile" -notype</t>
  </si>
  <si>
    <t>Write-host "Move request statistics have been exported to $ExportFile" -foregroundcolor magenta</t>
  </si>
  <si>
    <t xml:space="preserve">            $checkUser = get-mailuser $UPN -ErrorAction Stop</t>
  </si>
  <si>
    <t xml:space="preserve">    Write-Progress -activity "Creating move request for user..." -status $Mailbox.UPN -percentComplete (($i / $Mailboxes.Count)  * 100)</t>
  </si>
  <si>
    <t xml:space="preserve">            $proxy = $false</t>
  </si>
  <si>
    <t xml:space="preserve">                    $proxy = $true</t>
  </si>
  <si>
    <t xml:space="preserve">            if (!$proxy)</t>
  </si>
  <si>
    <t xml:space="preserve">                $Return.MailboxExists = $False</t>
  </si>
  <si>
    <t xml:space="preserve">                $Return.MailUserExists =  $False</t>
  </si>
  <si>
    <t xml:space="preserve">            }    </t>
  </si>
  <si>
    <t xml:space="preserve">                $checkmailbox = get-mailbox $UPN -ErrorAction Stop</t>
  </si>
  <si>
    <t xml:space="preserve">            </t>
  </si>
  <si>
    <t xml:space="preserve">            $return.MailboxExists = $false</t>
  </si>
  <si>
    <t xml:space="preserve">            $return.MailUserExists = $false</t>
  </si>
  <si>
    <t xml:space="preserve">        [hashtable]$Return = @{}            </t>
  </si>
  <si>
    <t xml:space="preserve">               </t>
  </si>
  <si>
    <t xml:space="preserve">   $i++        </t>
  </si>
  <si>
    <t xml:space="preserve">                    $curdatetime = date_time</t>
  </si>
  <si>
    <t xml:space="preserve"> [string] $exportpath = "",</t>
  </si>
  <si>
    <t xml:space="preserve">            Write-host "$curdatetime : $UPN - Verifying mail user has Target Delivery Domain ProxyAddress`r`n" -foregroundcolor yellow</t>
  </si>
  <si>
    <t xml:space="preserve">                Write-host "$curdatetime : $UPN -  Mail user does not have $TargetDeliveryDomain ProxyAddress - check on-premise account`r`n" -foregroundcolor magenta</t>
  </si>
  <si>
    <t xml:space="preserve">            Write-host "$curdatetime : $UPN - Mail user does not exist`r`n" -foregroundcolor magenta</t>
  </si>
  <si>
    <t xml:space="preserve">                Write-host "$curdatetime : $UPN - Checking if user mailbox exists`r`n" -foregroundcolor yellow</t>
  </si>
  <si>
    <t xml:space="preserve">              Write-host "$curdatetime : $UPN - Verifying if user has failed move requests`r`n" -foregroundcolor yellow</t>
  </si>
  <si>
    <t>Bad Item Limit</t>
  </si>
  <si>
    <t xml:space="preserve"> [string] $verifyonly = "",</t>
  </si>
  <si>
    <t>write-host "Please wait..." -foregroundcolor magenta</t>
  </si>
  <si>
    <t>$tenantCreds = get-credential</t>
  </si>
  <si>
    <t xml:space="preserve">  $ps=New-PSSession -Credential $tenantCreds -ConfigurationName Microsoft.Exchange -ConnectionUri https://ps.outlook.com/Powershell -AllowRedirection -Authentication basic</t>
  </si>
  <si>
    <t xml:space="preserve">  Import-module msonline</t>
  </si>
  <si>
    <t xml:space="preserve">  Connect-msolservice -credential $tenantCreds</t>
  </si>
  <si>
    <t>UsageLocation</t>
  </si>
  <si>
    <t>Tenant name</t>
  </si>
  <si>
    <t>write-host "Waiting for input on Tenant admin credentials" -foregroundcolor magenta</t>
  </si>
  <si>
    <t xml:space="preserve">{      </t>
  </si>
  <si>
    <t xml:space="preserve">            else</t>
  </si>
  <si>
    <t xml:space="preserve">            write-host "$curdatetime : $UPN MSOL user not found!`r`n" -foregroundcolor magenta</t>
  </si>
  <si>
    <t xml:space="preserve">            Write-host "$curdatetime : $UPN - Verifying mail user exists`r`n" -foregroundcolor yellow</t>
  </si>
  <si>
    <t xml:space="preserve">    $location = $Mailbox.usagelocation</t>
  </si>
  <si>
    <t xml:space="preserve">    Write-host "$curdatetime : $UPN - Verifying if license has been assigned`r`n" -foregroundcolor yellow</t>
  </si>
  <si>
    <t xml:space="preserve">     $checkCloudUPN = check_cloudUPN($UPN)</t>
  </si>
  <si>
    <t>DATE</t>
  </si>
  <si>
    <t>AUTHOR</t>
  </si>
  <si>
    <t>VERSION</t>
  </si>
  <si>
    <t>DETAIL</t>
  </si>
  <si>
    <t>First Draft</t>
  </si>
  <si>
    <t>Author: Michael Hall</t>
  </si>
  <si>
    <t>4. If the mailbox moves were successful,  keep track of the moved mailboxes by changing the MOVE_VARIABLE to "MOVED".</t>
  </si>
  <si>
    <t xml:space="preserve">        $bytesTransferred = $bytesTransferredString.substring(0,$bytesTransferredString.indexof("GB")) # -replace '\.','' -replace ' ',''</t>
  </si>
  <si>
    <t xml:space="preserve">    elseif ($bytesTransferredString.indexof("MB") -gt 0)</t>
  </si>
  <si>
    <t xml:space="preserve">    $csvobject += $obj</t>
  </si>
  <si>
    <t xml:space="preserve">      $status = $moveRequest.status</t>
  </si>
  <si>
    <t>Status</t>
  </si>
  <si>
    <t>write-host "Waiting for input on Exchange On-Premise admin credentials" -foregroundcolor magenta</t>
  </si>
  <si>
    <t xml:space="preserve">3. To target users for mailbox migration change the MOVE_VARIABLE column to "X" in the "Mailboxes" sheet. These mailboxes will be targeted within the PLANNED_BATCH sheet. </t>
  </si>
  <si>
    <t>Minor cell updates</t>
  </si>
  <si>
    <t>get_moverequest_stats.ps1</t>
  </si>
  <si>
    <t>show_moverequests.ps1</t>
  </si>
  <si>
    <t>Added move requests progress
64bit / 32bit execution issues fixed</t>
  </si>
  <si>
    <r>
      <t xml:space="preserve">Prerequisites:
</t>
    </r>
    <r>
      <rPr>
        <sz val="11"/>
        <rFont val="Calibri"/>
        <family val="2"/>
      </rPr>
      <t xml:space="preserve">Windows Azure Active Directory Module for Windows PowerShell (32-bit version) - http://go.microsoft.com/fwlink/p/?linkid=236298
Windows Azure Active Directory Module for Windows PowerShell (64-bit version) - http://go.microsoft.com/fwlink/p/?linkid=236297
</t>
    </r>
  </si>
  <si>
    <t>$moveRequestStats = get-moverequest -movestatus Completed| get-moverequeststatistics</t>
  </si>
  <si>
    <t xml:space="preserve">              elseif ($checkMoveRequest.success -and $checkMoveRequest.status -like 'Failed*' )</t>
  </si>
  <si>
    <t>5. The moved mailboxes will be shown in the MOVED sheet to keep track of the moved mailboxes.</t>
  </si>
  <si>
    <t>6. On the MOVE_REQUEST_STATISTICS sheet you have the ability to track all Completed move requests to determine AVERAGE MB/Min</t>
  </si>
  <si>
    <t>Write-Host 'Assigning Licenses' -foregroundcolor magenta</t>
  </si>
  <si>
    <t>Write-Host 'License assignments done' -foregroundcolor magenta</t>
  </si>
  <si>
    <t>Modified move request verification</t>
  </si>
  <si>
    <t>Minor bug fixes</t>
  </si>
  <si>
    <t>get-moverequest | where {$_.status -ne 'Completed'}|get-moverequeststatistics|select DisplayName,TotalMailboxSize,Status,PercentComplete,OverallDuration,BytesTransferred, BytesTransferredPerMinute|ft -autosize|out-string</t>
  </si>
  <si>
    <t>write-host "get-moverequest | where {$_.status -ne 'Completed'}|get-moverequeststatistics|select DisplayName,TotalMailboxSize,Status,PercentComplete,OverallDuration,BytesTransferred, BytesTransferredPerMinute|ft -autosize|out-string"</t>
  </si>
  <si>
    <t xml:space="preserve">                if ($SMTP.IndexOf("mail.onmicrosoft.com") -gt 0)</t>
  </si>
  <si>
    <t>Type</t>
  </si>
  <si>
    <t>function check_licensed($UPN, $Type)</t>
  </si>
  <si>
    <t xml:space="preserve">            if ($Type -ne "RoomMailbox" -and $Type -ne "EquipmentMailbox" -and $Type -ne "SharedMailbox" )</t>
  </si>
  <si>
    <t xml:space="preserve">                $isLicensed = get-msoluser -userprincipalname $UPN -ErrorAction Stop</t>
  </si>
  <si>
    <t xml:space="preserve">                if (!$isLicensed.isLicensed)</t>
  </si>
  <si>
    <t xml:space="preserve">                  Write-host "$curdatetime : $UPN - User not licensed `r`n" -foregroundcolor yellow</t>
  </si>
  <si>
    <t xml:space="preserve">                  {</t>
  </si>
  <si>
    <t xml:space="preserve">                    Write-host "$curdatetime : $UPN - Setting user location to $location`r`n" -foregroundcolor yellow</t>
  </si>
  <si>
    <t xml:space="preserve">                    Set-MSOLUser -userprincipalname $UPN -UsageLocation $location</t>
  </si>
  <si>
    <t xml:space="preserve">                    Write-host "$curdatetime : $UPN - Assigning license $license.`r`n" -foregroundcolor yellow</t>
  </si>
  <si>
    <t xml:space="preserve">                    Set-MsolUserLicense -UserPrincipalName $UPN -AddLicenses $license</t>
  </si>
  <si>
    <t xml:space="preserve">                  }</t>
  </si>
  <si>
    <t xml:space="preserve">                }</t>
  </si>
  <si>
    <t xml:space="preserve">                else</t>
  </si>
  <si>
    <t xml:space="preserve">                  Write-host "$curdatetime : $UPN - User is licensed. `r`n" -foregroundcolor yellow</t>
  </si>
  <si>
    <t xml:space="preserve">                } </t>
  </si>
  <si>
    <t xml:space="preserve">    $license = $Mailbox.License</t>
  </si>
  <si>
    <t xml:space="preserve">    $EmailAddress = $Mailbox.EmailAddress</t>
  </si>
  <si>
    <t xml:space="preserve">    $RecipientType = $Mailbox.Type</t>
  </si>
  <si>
    <t xml:space="preserve">                Write-host "$curdatetime : $UPN - User has already been moved`r`n" -foregroundcolor magenta</t>
  </si>
  <si>
    <t xml:space="preserve">                Write-host "$curdatetime : $UPN - User has failed moved request - cleaning old move request`r`n" -foregroundcolor magenta</t>
  </si>
  <si>
    <t xml:space="preserve">                if($verifyonly -eq "")</t>
  </si>
  <si>
    <t xml:space="preserve">                { </t>
  </si>
  <si>
    <t xml:space="preserve">                    Write-host "$curdatetime : $UPN - Initiating mailbox move`r`n" -foregroundcolor green</t>
  </si>
  <si>
    <t xml:space="preserve">                }                     </t>
  </si>
  <si>
    <t xml:space="preserve">            Write-host "$curdatetime : $UPN - User does not contain a valid object in Office 365.`r`n" -foregroundcolor magenta</t>
  </si>
  <si>
    <t xml:space="preserve">                Write-host "$curdatetime : $UPN - User type does not require license. `r`n" -foregroundcolor yellow</t>
  </si>
  <si>
    <t>Added Recipient Type checks on licensing</t>
  </si>
  <si>
    <r>
      <t xml:space="preserve">To populate the Mailboxes sheet: 
1. Run the below command from your on-premise Exchange Server 2007/2010 management shell. 
</t>
    </r>
    <r>
      <rPr>
        <i/>
        <sz val="11"/>
        <rFont val="Calibri"/>
        <family val="2"/>
      </rPr>
      <t>$mbx=Get-Mailbox -resultsize unlimited; $mbx | foreach-object {$UPN = $_.UserPrincipalName; $EmailAddress = $_.PrimarySmtpAddress;$OU = $_.OrganizationalUnit; $Type = $_.RecipientTypeDetails; $_ | Get-MailboxStatistics | select @{Name="UPN";expression={$UPN}},@{Name="EmailAddress";expression={$EmailAddress}},@{Name="Type";expression={$Type}},@{Name="OU";expression={$OU}},DisplayName,@{Name="TotalItemSize(MB)";expression={$_.TotalItemSize.Value.ToMB()}},LastLogonTime}|Export-csv .\Mailboxes_Output.csv -notype</t>
    </r>
    <r>
      <rPr>
        <b/>
        <sz val="11"/>
        <rFont val="Calibri"/>
        <family val="2"/>
      </rPr>
      <t xml:space="preserve">
2. Import the csv file into the mailboxes sheet by pressing this button -&gt;</t>
    </r>
  </si>
  <si>
    <t>function check_cloudUPN($UPN)</t>
  </si>
  <si>
    <t xml:space="preserve">            Write-host "$curdatetime : $UPN - Mailbox already exists in cloud.`r`n" -foregroundcolor magenta</t>
  </si>
  <si>
    <t xml:space="preserve">       elseif ($checkCloudUPN.MailboxExists)</t>
  </si>
  <si>
    <t>OU</t>
  </si>
  <si>
    <t>LastLogonTime</t>
  </si>
  <si>
    <t>finalize_suspended_moverequests.ps1</t>
  </si>
  <si>
    <r>
      <t>Activate Licenses:</t>
    </r>
    <r>
      <rPr>
        <sz val="11"/>
        <color theme="1"/>
        <rFont val="Calibri"/>
        <family val="2"/>
        <scheme val="minor"/>
      </rPr>
      <t xml:space="preserve"> Assigns a license to the users in this list.</t>
    </r>
  </si>
  <si>
    <r>
      <t>Show InProgress Moves:</t>
    </r>
    <r>
      <rPr>
        <sz val="11"/>
        <color theme="1"/>
        <rFont val="Calibri"/>
        <family val="2"/>
        <scheme val="minor"/>
      </rPr>
      <t xml:space="preserve"> List In Progress Moves</t>
    </r>
  </si>
  <si>
    <r>
      <t xml:space="preserve">Resume Suspended Moves: </t>
    </r>
    <r>
      <rPr>
        <sz val="11"/>
        <color theme="1"/>
        <rFont val="Calibri"/>
        <family val="2"/>
        <scheme val="minor"/>
      </rPr>
      <t>Resume move requests that have been previously Suspended.</t>
    </r>
  </si>
  <si>
    <t>Added Suspending of move requests</t>
  </si>
  <si>
    <t xml:space="preserve">                  else</t>
  </si>
  <si>
    <t xml:space="preserve">                get-moverequest $UPN|remove-moverequest -confirm:$false</t>
  </si>
  <si>
    <t xml:space="preserve">                    Write-host "$curdatetime : $UPN - Initiating mailbox move with SuspendWhenReadyToComplete `r`n" -foregroundcolor green</t>
  </si>
  <si>
    <t>hybrid.contoso.com</t>
  </si>
  <si>
    <t>contoso.mail.onmicrosoft.com</t>
  </si>
  <si>
    <t>Fixed an issue with mailbox moves not being suspended.</t>
  </si>
  <si>
    <t xml:space="preserve"> [System.Int32] $BadItemLimit,</t>
  </si>
  <si>
    <t xml:space="preserve">    $checkifLicensed = check_licensed $UPN $RecipientType</t>
  </si>
  <si>
    <t xml:space="preserve">                  if ($SuspendMovesWhenReady -eq 1)</t>
  </si>
  <si>
    <t>Fixed an issue with move request statistics</t>
  </si>
  <si>
    <t xml:space="preserve">    $obj = $obj | select-object DisplayName,MBPerMinute,MBTransferred,OverallDuration,Status</t>
  </si>
  <si>
    <t>1.1</t>
  </si>
  <si>
    <t>ENTERPRISEWITHSCAL_GOV</t>
  </si>
  <si>
    <t>EXCHANGESTANDARD_GOV</t>
  </si>
  <si>
    <t>EXCHANGEENTERPRISE</t>
  </si>
  <si>
    <t>EXCHANGEARCHIVE</t>
  </si>
  <si>
    <t>EXCHANGETELCO</t>
  </si>
  <si>
    <t>STANDARDPACK</t>
  </si>
  <si>
    <t>STANDARDWOFFPACK</t>
  </si>
  <si>
    <t>ENTERPRISEWITHSCAL</t>
  </si>
  <si>
    <t>STANDARDPACK_STUDENT</t>
  </si>
  <si>
    <t>ENTERPRISEPACK_STUDENT</t>
  </si>
  <si>
    <t>ENTERPRISEWITHSCAL_STUDENT</t>
  </si>
  <si>
    <t>STANDARDPACK_FACULTY</t>
  </si>
  <si>
    <t>ENTERPRISEPACK_FACULTY</t>
  </si>
  <si>
    <t>ENTERPRISEWITHSCAL_FACULTY</t>
  </si>
  <si>
    <r>
      <t xml:space="preserve">Remote PowerShell Session: </t>
    </r>
    <r>
      <rPr>
        <sz val="11"/>
        <color theme="1"/>
        <rFont val="Calibri"/>
        <family val="2"/>
        <scheme val="minor"/>
      </rPr>
      <t>Opens a remote PowerShell session to you Office 365 Tenant.</t>
    </r>
  </si>
  <si>
    <t>Added AccountSKU licenses and descriptions</t>
  </si>
  <si>
    <t>open_powershell_session.ps1</t>
  </si>
  <si>
    <t>write-host "Office PowerShell Session successfully opened" -foregroundcolor magenta</t>
  </si>
  <si>
    <t>US</t>
  </si>
  <si>
    <t>export_license_report.ps1</t>
  </si>
  <si>
    <t xml:space="preserve">$Sku = @{ </t>
  </si>
  <si>
    <t xml:space="preserve">    "DESKLESSPACK" = "Office 365 (Plan K1)" </t>
  </si>
  <si>
    <t xml:space="preserve">    "DESKLESSWOFFPACK" = "Office 365 (Plan K2)" </t>
  </si>
  <si>
    <t xml:space="preserve">    "LITEPACK" = "Office 365 (Plan P1)" </t>
  </si>
  <si>
    <t xml:space="preserve">    "EXCHANGEENTERPRISE" = "Exchange Online (Plan 2)"</t>
  </si>
  <si>
    <t xml:space="preserve">    "EXCHANGEARCHIVE" = "Exchange Online Archiving"</t>
  </si>
  <si>
    <t xml:space="preserve">    "EXCHANGETELCO" = "Exchange Online POP"</t>
  </si>
  <si>
    <t xml:space="preserve">    "STANDARDPACK" = "Microsoft Office 365 (Plan E1)"</t>
  </si>
  <si>
    <t xml:space="preserve">    "STANDARDWOFFPACK" = "Microsoft Office 365 (Plan E2)"</t>
  </si>
  <si>
    <t xml:space="preserve">    "ENTERPRISEPACK" = "Microsoft Office 365 (Plan E3)"</t>
  </si>
  <si>
    <t xml:space="preserve">    "ENTERPRISEWITHSCAL" = "Microsoft Office 365 (Plan E4)"</t>
  </si>
  <si>
    <t xml:space="preserve">    "STANDARDPACK_STUDENT" = "Microsoft Office 365 (Plan A1) for Students"</t>
  </si>
  <si>
    <t xml:space="preserve">    "STANDARDWOFFPACKPACK_STUDENT" = "Microsoft Office 365 (Plan A2) for Students"</t>
  </si>
  <si>
    <t xml:space="preserve">    "ENTERPRISEPACK_STUDENT" = "Microsoft Office 365 (Plan A3) for Students"</t>
  </si>
  <si>
    <t xml:space="preserve">    "ENTERPRISEWITHSCAL_STUDENT" = "Microsoft Office 365 (Plan A4) for Students"</t>
  </si>
  <si>
    <t xml:space="preserve">    "ENTERPRISEPACK_FACULTY" = "Microsoft Office 365 (Plan A3) for Faculty"</t>
  </si>
  <si>
    <t xml:space="preserve">    "ENTERPRISEWITHSCAL_FACULTY" = "Microsoft Office 365 (Plan A4) for Faculty"</t>
  </si>
  <si>
    <t xml:space="preserve">    "ENTERPRISEWITHSCAL_GOV" = "Microsoft Office 365 (Plan G4) for Government"</t>
  </si>
  <si>
    <t xml:space="preserve">        { </t>
  </si>
  <si>
    <t>August 17,2013</t>
  </si>
  <si>
    <t xml:space="preserve">    "EXCHANGESTANDARD" = "Exchange Online (Plan 1)"</t>
  </si>
  <si>
    <t>AccountSku</t>
  </si>
  <si>
    <t>ServiceName</t>
  </si>
  <si>
    <t>ProvisioningStatus</t>
  </si>
  <si>
    <t>Count of DisplayName</t>
  </si>
  <si>
    <t>Row Labels</t>
  </si>
  <si>
    <t>Grand Total</t>
  </si>
  <si>
    <t>Column Labels</t>
  </si>
  <si>
    <t>$ExportFile = "$exportpath\License_Statistics_$curdatetime.csv"</t>
  </si>
  <si>
    <t xml:space="preserve">    "VISIOCLIENT" = "Visio Pro for Office 365"</t>
  </si>
  <si>
    <t xml:space="preserve">    "INTUNE_A" = "Intune for Office 365"</t>
  </si>
  <si>
    <t xml:space="preserve">    "PROJECTONLINE_PLAN_1" = "Project Online Plan 1"</t>
  </si>
  <si>
    <t xml:space="preserve">    "PROJECTCLIENT" = "Project Pro for Office 365"</t>
  </si>
  <si>
    <t xml:space="preserve">} </t>
  </si>
  <si>
    <t>$AccountSkus = Get-MsolAccountSku</t>
  </si>
  <si>
    <t>$MSOLUsers = get-msoluser -all</t>
  </si>
  <si>
    <t>foreach ($MSOLUser in $MSOLUsers)</t>
  </si>
  <si>
    <t xml:space="preserve">    foreach ($AccountSku in $AccountSkuids)  </t>
  </si>
  <si>
    <t xml:space="preserve">    {      </t>
  </si>
  <si>
    <t xml:space="preserve">        foreach ($row in $AccountSku.ServiceStatus)</t>
  </si>
  <si>
    <t xml:space="preserve">            switch -wildcard ($row.ServicePlan.servicename)</t>
  </si>
  <si>
    <t xml:space="preserve">            { </t>
  </si>
  <si>
    <t xml:space="preserve">             "EXC*" { $thisLicense = "Exchange Online" } </t>
  </si>
  <si>
    <t xml:space="preserve">             "MCO*" { $thisLicense = "Lync Online" } </t>
  </si>
  <si>
    <t xml:space="preserve">             "LYN*" { $thisLicense = "Lync Online" } </t>
  </si>
  <si>
    <t xml:space="preserve">             "OFF*" { $thisLicense = "Office Professional Plus" } </t>
  </si>
  <si>
    <t xml:space="preserve">             "SHA*" { $thisLicense = "Sharepoint Online" } </t>
  </si>
  <si>
    <t xml:space="preserve">             "*WAC*" { $thisLicense = "Office Web Apps" } </t>
  </si>
  <si>
    <t xml:space="preserve">             "WAC*" { $thisLicense = "Office Web Apps" } </t>
  </si>
  <si>
    <t xml:space="preserve">             "INTUNE*" { $thisLicense = "Intune" }</t>
  </si>
  <si>
    <t xml:space="preserve">             "PROJECT_CLIENT*" { $thisLicense = "Project Professional" }</t>
  </si>
  <si>
    <t xml:space="preserve">             "SHAREPOINT_PROJ*" { $thisLicense = "Project Online" }</t>
  </si>
  <si>
    <t xml:space="preserve">             "VISIO_CLIENT*" { $thisLicense = "Visio Professional" }</t>
  </si>
  <si>
    <t xml:space="preserve">             default { $thisLicense = $row.ServicePlan.servicename } </t>
  </si>
  <si>
    <t xml:space="preserve">           }</t>
  </si>
  <si>
    <t xml:space="preserve">           $obj = New-Object PSObject -Property @{"DisplayName" = $MSOLUser.displayname; "AccountSku" = $Sku.item($AccountSku.AccountSkuid.split(":")[1].toupper()); "ServiceName" = $thisLicense; "ProvisioningStatus" =  $row.provisioningstatus }</t>
  </si>
  <si>
    <t xml:space="preserve">           $obj = $obj | select-object DisplayName,AccountSku,ServiceName,ProvisioningStatus</t>
  </si>
  <si>
    <t xml:space="preserve">           $csvobject += $obj</t>
  </si>
  <si>
    <t>$csvobject |export-csv "$ExportFile" -notype</t>
  </si>
  <si>
    <t># Some script code has been Referenced from http://gallery.technet.microsoft.com/scriptcenter/Export-a-Licence-b200ca2a#content</t>
  </si>
  <si>
    <t>write-host ("Script Completed.  Results available in " + $ExportFile) -foregroundcolor magenta</t>
  </si>
  <si>
    <t>Added license reporting feature</t>
  </si>
  <si>
    <t xml:space="preserve">    "PROJECTONLINE_PLAN_2" = "Project Online Plan 2"</t>
  </si>
  <si>
    <t>$i = 0</t>
  </si>
  <si>
    <t xml:space="preserve">    Write-Progress -activity "Gathering license statistics...." -status $MSOLUser.Displayname -percentComplete (($i / $MSOLUsers.Count)  * 100)</t>
  </si>
  <si>
    <t xml:space="preserve">     $AccountSKUids = $MSOLUser.Licenses</t>
  </si>
  <si>
    <t xml:space="preserve">     $i++;</t>
  </si>
  <si>
    <t>ZA</t>
  </si>
  <si>
    <t>AF</t>
  </si>
  <si>
    <t>AFGHANISTAN</t>
  </si>
  <si>
    <t>AX</t>
  </si>
  <si>
    <t>ÅLAND ISLANDS</t>
  </si>
  <si>
    <t>AL</t>
  </si>
  <si>
    <t>ALBANIA</t>
  </si>
  <si>
    <t>DZ</t>
  </si>
  <si>
    <t>ALGERIA</t>
  </si>
  <si>
    <t>AS</t>
  </si>
  <si>
    <t>AMERICAN SAMOA</t>
  </si>
  <si>
    <t>AD</t>
  </si>
  <si>
    <t>ANDORRA</t>
  </si>
  <si>
    <t>AO</t>
  </si>
  <si>
    <t>ANGOLA</t>
  </si>
  <si>
    <t>AI</t>
  </si>
  <si>
    <t>ANGUILLA</t>
  </si>
  <si>
    <t>AQ</t>
  </si>
  <si>
    <t>ANTARCTICA</t>
  </si>
  <si>
    <t>AG</t>
  </si>
  <si>
    <t>ANTIGUA AND BARBUDA</t>
  </si>
  <si>
    <t>AR</t>
  </si>
  <si>
    <t>ARGENTINA</t>
  </si>
  <si>
    <t>AM</t>
  </si>
  <si>
    <t>ARMENIA</t>
  </si>
  <si>
    <t>AW</t>
  </si>
  <si>
    <t>ARUBA</t>
  </si>
  <si>
    <t>AU</t>
  </si>
  <si>
    <t>AUSTRALIA</t>
  </si>
  <si>
    <t>AT</t>
  </si>
  <si>
    <t>AUSTRIA</t>
  </si>
  <si>
    <t>AZ</t>
  </si>
  <si>
    <t>AZERBAIJAN</t>
  </si>
  <si>
    <t>BS</t>
  </si>
  <si>
    <t>BAHAMAS</t>
  </si>
  <si>
    <t>BH</t>
  </si>
  <si>
    <t>BAHRAIN</t>
  </si>
  <si>
    <t>BD</t>
  </si>
  <si>
    <t>BANGLADESH</t>
  </si>
  <si>
    <t>BB</t>
  </si>
  <si>
    <t>BARBADOS</t>
  </si>
  <si>
    <t>BY</t>
  </si>
  <si>
    <t>BELARUS</t>
  </si>
  <si>
    <t>BE</t>
  </si>
  <si>
    <t>BELGIUM</t>
  </si>
  <si>
    <t>BZ</t>
  </si>
  <si>
    <t>BELIZE</t>
  </si>
  <si>
    <t>BJ</t>
  </si>
  <si>
    <t>BENIN</t>
  </si>
  <si>
    <t>BM</t>
  </si>
  <si>
    <t>BERMUDA</t>
  </si>
  <si>
    <t>BT</t>
  </si>
  <si>
    <t>BHUTAN</t>
  </si>
  <si>
    <t>BO</t>
  </si>
  <si>
    <t>BOLIVIA, PLURINATIONAL STATE OF</t>
  </si>
  <si>
    <t>BQ</t>
  </si>
  <si>
    <t>BONAIRE, SINT EUSTATIUS AND SABA</t>
  </si>
  <si>
    <t>BA</t>
  </si>
  <si>
    <t>BOSNIA AND HERZEGOVINA</t>
  </si>
  <si>
    <t>BW</t>
  </si>
  <si>
    <t>BOTSWANA</t>
  </si>
  <si>
    <t>BV</t>
  </si>
  <si>
    <t>BOUVET ISLAND</t>
  </si>
  <si>
    <t>BR</t>
  </si>
  <si>
    <t>BRAZIL</t>
  </si>
  <si>
    <t>IO</t>
  </si>
  <si>
    <t>BRITISH INDIAN OCEAN TERRITORY</t>
  </si>
  <si>
    <t>BN</t>
  </si>
  <si>
    <t>BRUNEI DARUSSALAM</t>
  </si>
  <si>
    <t>BG</t>
  </si>
  <si>
    <t>BULGARIA</t>
  </si>
  <si>
    <t>BF</t>
  </si>
  <si>
    <t>BURKINA FASO</t>
  </si>
  <si>
    <t>BI</t>
  </si>
  <si>
    <t>BURUNDI</t>
  </si>
  <si>
    <t>KH</t>
  </si>
  <si>
    <t>CAMBODIA</t>
  </si>
  <si>
    <t>CM</t>
  </si>
  <si>
    <t>CAMEROON</t>
  </si>
  <si>
    <t>CA</t>
  </si>
  <si>
    <t>CANADA</t>
  </si>
  <si>
    <t>CV</t>
  </si>
  <si>
    <t>CAPE VERDE</t>
  </si>
  <si>
    <t>KY</t>
  </si>
  <si>
    <t>CAYMAN ISLANDS</t>
  </si>
  <si>
    <t>CF</t>
  </si>
  <si>
    <t>CENTRAL AFRICAN REPUBLIC</t>
  </si>
  <si>
    <t>TD</t>
  </si>
  <si>
    <t>CHAD</t>
  </si>
  <si>
    <t>CL</t>
  </si>
  <si>
    <t>CHILE</t>
  </si>
  <si>
    <t>CN</t>
  </si>
  <si>
    <t>CHINA</t>
  </si>
  <si>
    <t>CX</t>
  </si>
  <si>
    <t>CHRISTMAS ISLAND</t>
  </si>
  <si>
    <t>CC</t>
  </si>
  <si>
    <t>COCOS (KEELING) ISLANDS</t>
  </si>
  <si>
    <t>CO</t>
  </si>
  <si>
    <t>COLOMBIA</t>
  </si>
  <si>
    <t>KM</t>
  </si>
  <si>
    <t>COMOROS</t>
  </si>
  <si>
    <t>CG</t>
  </si>
  <si>
    <t>CONGO</t>
  </si>
  <si>
    <t>CD</t>
  </si>
  <si>
    <t>CONGO, THE DEMOCRATIC REPUBLIC OF THE</t>
  </si>
  <si>
    <t>CK</t>
  </si>
  <si>
    <t>COOK ISLANDS</t>
  </si>
  <si>
    <t>CR</t>
  </si>
  <si>
    <t>COSTA RICA</t>
  </si>
  <si>
    <t>CI</t>
  </si>
  <si>
    <t>CÔTE D'IVOIRE</t>
  </si>
  <si>
    <t>HR</t>
  </si>
  <si>
    <t>CROATIA</t>
  </si>
  <si>
    <t>CU</t>
  </si>
  <si>
    <t>CUBA</t>
  </si>
  <si>
    <t>CW</t>
  </si>
  <si>
    <t>CURAÇAO</t>
  </si>
  <si>
    <t>CY</t>
  </si>
  <si>
    <t>CYPRUS</t>
  </si>
  <si>
    <t>CZ</t>
  </si>
  <si>
    <t>CZECH REPUBLIC</t>
  </si>
  <si>
    <t>DK</t>
  </si>
  <si>
    <t>DENMARK</t>
  </si>
  <si>
    <t>DJ</t>
  </si>
  <si>
    <t>DJIBOUTI</t>
  </si>
  <si>
    <t>DM</t>
  </si>
  <si>
    <t>DOMINICA</t>
  </si>
  <si>
    <t>DO</t>
  </si>
  <si>
    <t>DOMINICAN REPUBLIC</t>
  </si>
  <si>
    <t>EC</t>
  </si>
  <si>
    <t>ECUADOR</t>
  </si>
  <si>
    <t>EG</t>
  </si>
  <si>
    <t>EGYPT</t>
  </si>
  <si>
    <t>SV</t>
  </si>
  <si>
    <t>EL SALVADOR</t>
  </si>
  <si>
    <t>GQ</t>
  </si>
  <si>
    <t>EQUATORIAL GUINEA</t>
  </si>
  <si>
    <t>ER</t>
  </si>
  <si>
    <t>ERITREA</t>
  </si>
  <si>
    <t>EE</t>
  </si>
  <si>
    <t>ESTONIA</t>
  </si>
  <si>
    <t>ET</t>
  </si>
  <si>
    <t>ETHIOPIA</t>
  </si>
  <si>
    <t>FK</t>
  </si>
  <si>
    <t>FALKLAND ISLANDS (MALVINAS)</t>
  </si>
  <si>
    <t>FO</t>
  </si>
  <si>
    <t>FAROE ISLANDS</t>
  </si>
  <si>
    <t>FJ</t>
  </si>
  <si>
    <t>FIJI</t>
  </si>
  <si>
    <t>FI</t>
  </si>
  <si>
    <t>FINLAND</t>
  </si>
  <si>
    <t>FR</t>
  </si>
  <si>
    <t>FRANCE</t>
  </si>
  <si>
    <t>GF</t>
  </si>
  <si>
    <t>FRENCH GUIANA</t>
  </si>
  <si>
    <t>PF</t>
  </si>
  <si>
    <t>FRENCH POLYNESIA</t>
  </si>
  <si>
    <t>TF</t>
  </si>
  <si>
    <t>FRENCH SOUTHERN TERRITORIES</t>
  </si>
  <si>
    <t>GA</t>
  </si>
  <si>
    <t>GABON</t>
  </si>
  <si>
    <t>GM</t>
  </si>
  <si>
    <t>GAMBIA</t>
  </si>
  <si>
    <t>GE</t>
  </si>
  <si>
    <t>GEORGIA</t>
  </si>
  <si>
    <t>DE</t>
  </si>
  <si>
    <t>GERMANY</t>
  </si>
  <si>
    <t>GH</t>
  </si>
  <si>
    <t>GHANA</t>
  </si>
  <si>
    <t>GI</t>
  </si>
  <si>
    <t>GIBRALTAR</t>
  </si>
  <si>
    <t>GR</t>
  </si>
  <si>
    <t>GREECE</t>
  </si>
  <si>
    <t>GL</t>
  </si>
  <si>
    <t>GREENLAND</t>
  </si>
  <si>
    <t>GD</t>
  </si>
  <si>
    <t>GRENADA</t>
  </si>
  <si>
    <t>GP</t>
  </si>
  <si>
    <t>GUADELOUPE</t>
  </si>
  <si>
    <t>GU</t>
  </si>
  <si>
    <t>GUAM</t>
  </si>
  <si>
    <t>GT</t>
  </si>
  <si>
    <t>GUATEMALA</t>
  </si>
  <si>
    <t>GG</t>
  </si>
  <si>
    <t>GUERNSEY</t>
  </si>
  <si>
    <t>GN</t>
  </si>
  <si>
    <t>GUINEA</t>
  </si>
  <si>
    <t>GW</t>
  </si>
  <si>
    <t>GUINEA-BISSAU</t>
  </si>
  <si>
    <t>GY</t>
  </si>
  <si>
    <t>GUYANA</t>
  </si>
  <si>
    <t>HT</t>
  </si>
  <si>
    <t>HAITI</t>
  </si>
  <si>
    <t>HM</t>
  </si>
  <si>
    <t>HEARD ISLAND AND MCDONALD ISLANDS</t>
  </si>
  <si>
    <t>VA</t>
  </si>
  <si>
    <t>HOLY SEE (VATICAN CITY STATE)</t>
  </si>
  <si>
    <t>HN</t>
  </si>
  <si>
    <t>HONDURAS</t>
  </si>
  <si>
    <t>HK</t>
  </si>
  <si>
    <t>HONG KONG</t>
  </si>
  <si>
    <t>HU</t>
  </si>
  <si>
    <t>HUNGARY</t>
  </si>
  <si>
    <t>IS</t>
  </si>
  <si>
    <t>ICELAND</t>
  </si>
  <si>
    <t>IN</t>
  </si>
  <si>
    <t>INDIA</t>
  </si>
  <si>
    <t>ID</t>
  </si>
  <si>
    <t>INDONESIA</t>
  </si>
  <si>
    <t>IR</t>
  </si>
  <si>
    <t>IRAN, ISLAMIC REPUBLIC OF</t>
  </si>
  <si>
    <t>IQ</t>
  </si>
  <si>
    <t>IRAQ</t>
  </si>
  <si>
    <t>IE</t>
  </si>
  <si>
    <t>IRELAND</t>
  </si>
  <si>
    <t>IM</t>
  </si>
  <si>
    <t>ISLE OF MAN</t>
  </si>
  <si>
    <t>IL</t>
  </si>
  <si>
    <t>ISRAEL</t>
  </si>
  <si>
    <t>IT</t>
  </si>
  <si>
    <t>ITALY</t>
  </si>
  <si>
    <t>JM</t>
  </si>
  <si>
    <t>JAMAICA</t>
  </si>
  <si>
    <t>JP</t>
  </si>
  <si>
    <t>JAPAN</t>
  </si>
  <si>
    <t>JE</t>
  </si>
  <si>
    <t>JERSEY</t>
  </si>
  <si>
    <t>JO</t>
  </si>
  <si>
    <t>JORDAN</t>
  </si>
  <si>
    <t>KZ</t>
  </si>
  <si>
    <t>KAZAKHSTAN</t>
  </si>
  <si>
    <t>KE</t>
  </si>
  <si>
    <t>KENYA</t>
  </si>
  <si>
    <t>KI</t>
  </si>
  <si>
    <t>KIRIBATI</t>
  </si>
  <si>
    <t>KP</t>
  </si>
  <si>
    <t>KOREA, DEMOCRATIC PEOPLE'S REPUBLIC OF</t>
  </si>
  <si>
    <t>KR</t>
  </si>
  <si>
    <t>KOREA, REPUBLIC OF</t>
  </si>
  <si>
    <t>KW</t>
  </si>
  <si>
    <t>KUWAIT</t>
  </si>
  <si>
    <t>KG</t>
  </si>
  <si>
    <t>KYRGYZSTAN</t>
  </si>
  <si>
    <t>LA</t>
  </si>
  <si>
    <t>LAO PEOPLE'S DEMOCRATIC REPUBLIC</t>
  </si>
  <si>
    <t>LV</t>
  </si>
  <si>
    <t>LATVIA</t>
  </si>
  <si>
    <t>LB</t>
  </si>
  <si>
    <t>LEBANON</t>
  </si>
  <si>
    <t>LS</t>
  </si>
  <si>
    <t>LESOTHO</t>
  </si>
  <si>
    <t>LR</t>
  </si>
  <si>
    <t>LIBERIA</t>
  </si>
  <si>
    <t>LY</t>
  </si>
  <si>
    <t>LIBYA</t>
  </si>
  <si>
    <t>LI</t>
  </si>
  <si>
    <t>LIECHTENSTEIN</t>
  </si>
  <si>
    <t>LT</t>
  </si>
  <si>
    <t>LITHUANIA</t>
  </si>
  <si>
    <t>LU</t>
  </si>
  <si>
    <t>LUXEMBOURG</t>
  </si>
  <si>
    <t>MO</t>
  </si>
  <si>
    <t>MACAO</t>
  </si>
  <si>
    <t>MK</t>
  </si>
  <si>
    <t>MACEDONIA, THE FORMER YUGOSLAV REPUBLIC OF</t>
  </si>
  <si>
    <t>MG</t>
  </si>
  <si>
    <t>MADAGASCAR</t>
  </si>
  <si>
    <t>MW</t>
  </si>
  <si>
    <t>MALAWI</t>
  </si>
  <si>
    <t>MY</t>
  </si>
  <si>
    <t>MALAYSIA</t>
  </si>
  <si>
    <t>MV</t>
  </si>
  <si>
    <t>MALDIVES</t>
  </si>
  <si>
    <t>ML</t>
  </si>
  <si>
    <t>MALI</t>
  </si>
  <si>
    <t>MT</t>
  </si>
  <si>
    <t>MALTA</t>
  </si>
  <si>
    <t>MH</t>
  </si>
  <si>
    <t>MARSHALL ISLANDS</t>
  </si>
  <si>
    <t>MQ</t>
  </si>
  <si>
    <t>MARTINIQUE</t>
  </si>
  <si>
    <t>MR</t>
  </si>
  <si>
    <t>MAURITANIA</t>
  </si>
  <si>
    <t>MU</t>
  </si>
  <si>
    <t>MAURITIUS</t>
  </si>
  <si>
    <t>YT</t>
  </si>
  <si>
    <t>MAYOTTE</t>
  </si>
  <si>
    <t>MX</t>
  </si>
  <si>
    <t>MEXICO</t>
  </si>
  <si>
    <t>FM</t>
  </si>
  <si>
    <t>MICRONESIA, FEDERATED STATES OF</t>
  </si>
  <si>
    <t>MD</t>
  </si>
  <si>
    <t>MOLDOVA, REPUBLIC OF</t>
  </si>
  <si>
    <t>MC</t>
  </si>
  <si>
    <t>MONACO</t>
  </si>
  <si>
    <t>MN</t>
  </si>
  <si>
    <t>MONGOLIA</t>
  </si>
  <si>
    <t>ME</t>
  </si>
  <si>
    <t>MONTENEGRO</t>
  </si>
  <si>
    <t>MS</t>
  </si>
  <si>
    <t>MONTSERRAT</t>
  </si>
  <si>
    <t>MA</t>
  </si>
  <si>
    <t>MOROCCO</t>
  </si>
  <si>
    <t>MZ</t>
  </si>
  <si>
    <t>MOZAMBIQUE</t>
  </si>
  <si>
    <t>MM</t>
  </si>
  <si>
    <t>MYANMAR</t>
  </si>
  <si>
    <t>NA</t>
  </si>
  <si>
    <t>NAMIBIA</t>
  </si>
  <si>
    <t>NR</t>
  </si>
  <si>
    <t>NAURU</t>
  </si>
  <si>
    <t>NP</t>
  </si>
  <si>
    <t>NEPAL</t>
  </si>
  <si>
    <t>NL</t>
  </si>
  <si>
    <t>NETHERLANDS</t>
  </si>
  <si>
    <t>NC</t>
  </si>
  <si>
    <t>NEW CALEDONIA</t>
  </si>
  <si>
    <t>NZ</t>
  </si>
  <si>
    <t>NEW ZEALAND</t>
  </si>
  <si>
    <t>NI</t>
  </si>
  <si>
    <t>NICARAGUA</t>
  </si>
  <si>
    <t>NE</t>
  </si>
  <si>
    <t>NIGER</t>
  </si>
  <si>
    <t>NG</t>
  </si>
  <si>
    <t>NIGERIA</t>
  </si>
  <si>
    <t>NU</t>
  </si>
  <si>
    <t>NIUE</t>
  </si>
  <si>
    <t>NF</t>
  </si>
  <si>
    <t>NORFOLK ISLAND</t>
  </si>
  <si>
    <t>MP</t>
  </si>
  <si>
    <t>NORTHERN MARIANA ISLANDS</t>
  </si>
  <si>
    <t>NO</t>
  </si>
  <si>
    <t>NORWAY</t>
  </si>
  <si>
    <t>OM</t>
  </si>
  <si>
    <t>OMAN</t>
  </si>
  <si>
    <t>PK</t>
  </si>
  <si>
    <t>PAKISTAN</t>
  </si>
  <si>
    <t>PW</t>
  </si>
  <si>
    <t>PALAU</t>
  </si>
  <si>
    <t>PS</t>
  </si>
  <si>
    <t>PALESTINE, STATE OF</t>
  </si>
  <si>
    <t>PA</t>
  </si>
  <si>
    <t>PANAMA</t>
  </si>
  <si>
    <t>PG</t>
  </si>
  <si>
    <t>PAPUA NEW GUINEA</t>
  </si>
  <si>
    <t>PY</t>
  </si>
  <si>
    <t>PARAGUAY</t>
  </si>
  <si>
    <t>PE</t>
  </si>
  <si>
    <t>PERU</t>
  </si>
  <si>
    <t>PH</t>
  </si>
  <si>
    <t>PHILIPPINES</t>
  </si>
  <si>
    <t>PN</t>
  </si>
  <si>
    <t>PITCAIRN</t>
  </si>
  <si>
    <t>PL</t>
  </si>
  <si>
    <t>POLAND</t>
  </si>
  <si>
    <t>PT</t>
  </si>
  <si>
    <t>PORTUGAL</t>
  </si>
  <si>
    <t>PR</t>
  </si>
  <si>
    <t>PUERTO RICO</t>
  </si>
  <si>
    <t>QA</t>
  </si>
  <si>
    <t>QATAR</t>
  </si>
  <si>
    <t>RE</t>
  </si>
  <si>
    <t>RÉUNION</t>
  </si>
  <si>
    <t>RO</t>
  </si>
  <si>
    <t>ROMANIA</t>
  </si>
  <si>
    <t>RU</t>
  </si>
  <si>
    <t>RUSSIAN FEDERATION</t>
  </si>
  <si>
    <t>RW</t>
  </si>
  <si>
    <t>RWANDA</t>
  </si>
  <si>
    <t>BL</t>
  </si>
  <si>
    <t>SAINT BARTHÉLEMY</t>
  </si>
  <si>
    <t>SH</t>
  </si>
  <si>
    <t>SAINT HELENA, ASCENSION AND TRISTAN DA CUNHA</t>
  </si>
  <si>
    <t>KN</t>
  </si>
  <si>
    <t>SAINT KITTS AND NEVIS</t>
  </si>
  <si>
    <t>LC</t>
  </si>
  <si>
    <t>SAINT LUCIA</t>
  </si>
  <si>
    <t>MF</t>
  </si>
  <si>
    <t>SAINT MARTIN (FRENCH PART)</t>
  </si>
  <si>
    <t>PM</t>
  </si>
  <si>
    <t>SAINT PIERRE AND MIQUELON</t>
  </si>
  <si>
    <t>VC</t>
  </si>
  <si>
    <t>SAINT VINCENT AND THE GRENADINES</t>
  </si>
  <si>
    <t>WS</t>
  </si>
  <si>
    <t>SAMOA</t>
  </si>
  <si>
    <t>SM</t>
  </si>
  <si>
    <t>SAN MARINO</t>
  </si>
  <si>
    <t>ST</t>
  </si>
  <si>
    <t>SAO TOME AND PRINCIPE</t>
  </si>
  <si>
    <t>SA</t>
  </si>
  <si>
    <t>SAUDI ARABIA</t>
  </si>
  <si>
    <t>SN</t>
  </si>
  <si>
    <t>SENEGAL</t>
  </si>
  <si>
    <t>RS</t>
  </si>
  <si>
    <t>SERBIA</t>
  </si>
  <si>
    <t>SC</t>
  </si>
  <si>
    <t>SEYCHELLES</t>
  </si>
  <si>
    <t>SL</t>
  </si>
  <si>
    <t>SIERRA LEONE</t>
  </si>
  <si>
    <t>SG</t>
  </si>
  <si>
    <t>SINGAPORE</t>
  </si>
  <si>
    <t>SX</t>
  </si>
  <si>
    <t>SINT MAARTEN (DUTCH PART)</t>
  </si>
  <si>
    <t>SK</t>
  </si>
  <si>
    <t>SLOVAKIA</t>
  </si>
  <si>
    <t>SI</t>
  </si>
  <si>
    <t>SLOVENIA</t>
  </si>
  <si>
    <t>SB</t>
  </si>
  <si>
    <t>SOLOMON ISLANDS</t>
  </si>
  <si>
    <t>SO</t>
  </si>
  <si>
    <t>SOMALIA</t>
  </si>
  <si>
    <t>SOUTH AFRICA</t>
  </si>
  <si>
    <t>GS</t>
  </si>
  <si>
    <t>SOUTH GEORGIA AND THE SOUTH SANDWICH ISLANDS</t>
  </si>
  <si>
    <t>SS</t>
  </si>
  <si>
    <t>SOUTH SUDAN</t>
  </si>
  <si>
    <t>ES</t>
  </si>
  <si>
    <t>SPAIN</t>
  </si>
  <si>
    <t>LK</t>
  </si>
  <si>
    <t>SRI LANKA</t>
  </si>
  <si>
    <t>SD</t>
  </si>
  <si>
    <t>SUDAN</t>
  </si>
  <si>
    <t>SR</t>
  </si>
  <si>
    <t>SURINAME</t>
  </si>
  <si>
    <t>SJ</t>
  </si>
  <si>
    <t>SVALBARD AND JAN MAYEN</t>
  </si>
  <si>
    <t>SZ</t>
  </si>
  <si>
    <t>SWAZILAND</t>
  </si>
  <si>
    <t>SE</t>
  </si>
  <si>
    <t>SWEDEN</t>
  </si>
  <si>
    <t>CH</t>
  </si>
  <si>
    <t>SWITZERLAND</t>
  </si>
  <si>
    <t>SY</t>
  </si>
  <si>
    <t>SYRIAN ARAB REPUBLIC</t>
  </si>
  <si>
    <t>TW</t>
  </si>
  <si>
    <t>TAIWAN, PROVINCE OF CHINA</t>
  </si>
  <si>
    <t>TJ</t>
  </si>
  <si>
    <t>TAJIKISTAN</t>
  </si>
  <si>
    <t>TZ</t>
  </si>
  <si>
    <t>TANZANIA, UNITED REPUBLIC OF</t>
  </si>
  <si>
    <t>TH</t>
  </si>
  <si>
    <t>THAILAND</t>
  </si>
  <si>
    <t>TL</t>
  </si>
  <si>
    <t>TIMOR-LESTE</t>
  </si>
  <si>
    <t>TG</t>
  </si>
  <si>
    <t>TOGO</t>
  </si>
  <si>
    <t>TK</t>
  </si>
  <si>
    <t>TOKELAU</t>
  </si>
  <si>
    <t>TO</t>
  </si>
  <si>
    <t>TONGA</t>
  </si>
  <si>
    <t>TT</t>
  </si>
  <si>
    <t>TRINIDAD AND TOBAGO</t>
  </si>
  <si>
    <t>TN</t>
  </si>
  <si>
    <t>TUNISIA</t>
  </si>
  <si>
    <t>TR</t>
  </si>
  <si>
    <t>TURKEY</t>
  </si>
  <si>
    <t>TM</t>
  </si>
  <si>
    <t>TURKMENISTAN</t>
  </si>
  <si>
    <t>TC</t>
  </si>
  <si>
    <t>TURKS AND CAICOS ISLANDS</t>
  </si>
  <si>
    <t>TV</t>
  </si>
  <si>
    <t>TUVALU</t>
  </si>
  <si>
    <t>UG</t>
  </si>
  <si>
    <t>UGANDA</t>
  </si>
  <si>
    <t>UA</t>
  </si>
  <si>
    <t>UKRAINE</t>
  </si>
  <si>
    <t>AE</t>
  </si>
  <si>
    <t>UNITED ARAB EMIRATES</t>
  </si>
  <si>
    <t>GB</t>
  </si>
  <si>
    <t>UNITED KINGDOM</t>
  </si>
  <si>
    <t>UNITED STATES</t>
  </si>
  <si>
    <t>UM</t>
  </si>
  <si>
    <t>UNITED STATES MINOR OUTLYING ISLANDS</t>
  </si>
  <si>
    <t>UY</t>
  </si>
  <si>
    <t>URUGUAY</t>
  </si>
  <si>
    <t>UZ</t>
  </si>
  <si>
    <t>UZBEKISTAN</t>
  </si>
  <si>
    <t>VU</t>
  </si>
  <si>
    <t>VANUATU</t>
  </si>
  <si>
    <t>VE</t>
  </si>
  <si>
    <t>VENEZUELA, BOLIVARIAN REPUBLIC OF</t>
  </si>
  <si>
    <t>VN</t>
  </si>
  <si>
    <t>VIET NAM</t>
  </si>
  <si>
    <t>VG</t>
  </si>
  <si>
    <t>VIRGIN ISLANDS, BRITISH</t>
  </si>
  <si>
    <t>VI</t>
  </si>
  <si>
    <t>VIRGIN ISLANDS, U.S.</t>
  </si>
  <si>
    <t>WF</t>
  </si>
  <si>
    <t>WALLIS AND FUTUNA</t>
  </si>
  <si>
    <t>EH</t>
  </si>
  <si>
    <t>WESTERN SAHARA</t>
  </si>
  <si>
    <t>YE</t>
  </si>
  <si>
    <t>YEMEN</t>
  </si>
  <si>
    <t>ZM</t>
  </si>
  <si>
    <t>ZAMBIA</t>
  </si>
  <si>
    <t>ZW</t>
  </si>
  <si>
    <t>ZIMBABWE</t>
  </si>
  <si>
    <t>Location of the users</t>
  </si>
  <si>
    <t>ENTERPRISEPACK_GOV</t>
  </si>
  <si>
    <t>DESKLESSPACK</t>
  </si>
  <si>
    <t xml:space="preserve">Office 365 (Plan K1) </t>
  </si>
  <si>
    <t>DESKLESSWOFFPACK</t>
  </si>
  <si>
    <t xml:space="preserve">Office 365 (Plan K2) </t>
  </si>
  <si>
    <t>Exchange Online (Plan 1)</t>
  </si>
  <si>
    <t>Exchange Online (Plan 2)</t>
  </si>
  <si>
    <t>Exchange Online Archiving</t>
  </si>
  <si>
    <t>Exchange Online POP</t>
  </si>
  <si>
    <t>Microsoft Office 365 (Plan E1)</t>
  </si>
  <si>
    <t>Microsoft Office 365 (Plan E2)</t>
  </si>
  <si>
    <t>Microsoft Office 365 (Plan E3)</t>
  </si>
  <si>
    <t>Microsoft Office 365 (Plan E4)</t>
  </si>
  <si>
    <t>Microsoft Office 365 (Plan A1) for Students</t>
  </si>
  <si>
    <t>Microsoft Office 365 (Plan A2) for Students</t>
  </si>
  <si>
    <t>Microsoft Office 365 (Plan A3) for Students</t>
  </si>
  <si>
    <t>Microsoft Office 365 (Plan A4) for Students</t>
  </si>
  <si>
    <t>Microsoft Microsoft Office 365 (Plan A1) for Faculty</t>
  </si>
  <si>
    <t>Microsoft Office 365 (Plan A3) for Faculty</t>
  </si>
  <si>
    <t>Microsoft Office 365 (Plan A4) for Faculty</t>
  </si>
  <si>
    <t>DESKLESSPACK_GOV</t>
  </si>
  <si>
    <t>Microsoft Office 365 (Plan K1) for Government</t>
  </si>
  <si>
    <t>DESKLESSWOFFPACK_GOV</t>
  </si>
  <si>
    <t xml:space="preserve">Microsoft Office 365 (Plan K2) for Government </t>
  </si>
  <si>
    <t>OFFICESUBSCRIPTION_GOV</t>
  </si>
  <si>
    <t>Office Professional Plus</t>
  </si>
  <si>
    <t>Microsoft Office 365 Exchange Online (Plan 1) only for Government</t>
  </si>
  <si>
    <t>EXCHANGEENTERPRISE_GOV</t>
  </si>
  <si>
    <t>Microsoft Office 365 Exchange Online (Plan 2) only for Government</t>
  </si>
  <si>
    <t>STANDARDPACK_GOV</t>
  </si>
  <si>
    <t>Microsoft Office 365 (Plan G1) for Government</t>
  </si>
  <si>
    <t>STANDARDWOFFPACK_GOV</t>
  </si>
  <si>
    <t>Microsoft Office 365 (Plan G2) for Government</t>
  </si>
  <si>
    <t>Microsoft Office 365 (Plan G3) for Government</t>
  </si>
  <si>
    <t>Microsoft Office 365 (Plan G4) for Government</t>
  </si>
  <si>
    <t xml:space="preserve">    "MCOSTANDARD" = "Lync Online (Plan 2)"</t>
  </si>
  <si>
    <t xml:space="preserve">    "OFFICESUBSCRIPTION" = "Office Professional Plus"</t>
  </si>
  <si>
    <t xml:space="preserve">    "EXCHANGEDESKLESS" = "Exchange Online Kiosk"</t>
  </si>
  <si>
    <t xml:space="preserve">    "ENTERPRISEPACKLRG" = "Microsoft Office 365 (Plan E3)"</t>
  </si>
  <si>
    <t xml:space="preserve">    "STANDARDPACK_FACULTY" = "Microsoft Office 365 (Plan A1) for Faculty"</t>
  </si>
  <si>
    <t xml:space="preserve">    "STANDARDWOFFPACKPACK_FACULTY" = "Microsoft Office 365 (Plan A2) for Faculty"</t>
  </si>
  <si>
    <t xml:space="preserve">    "ENTERPRISEPACK_B_PILOT" = "Microsoft Office 365 (Enterprise Preview)"</t>
  </si>
  <si>
    <t xml:space="preserve">    "STANDARD_B_PILOT" = "Microsoft Office 365 (Small Business Preview)"</t>
  </si>
  <si>
    <t xml:space="preserve">    "DESKLESSPACK_GOV" = "Microsoft Office 365 (Plan K1) for Government"</t>
  </si>
  <si>
    <t xml:space="preserve">    "DESKLESSWOFFPACK_GOV" = "Microsoft Office 365 (Plan K2) for Government" </t>
  </si>
  <si>
    <t xml:space="preserve">    "OFFICESUBSCRIPTION_GOV" = "Office Professional Plus for Government"</t>
  </si>
  <si>
    <t xml:space="preserve">    "EXCHANGESTANDARD_GOV" = "Microsoft Office 365 Exchange Online (Plan 1) only for Government"</t>
  </si>
  <si>
    <t xml:space="preserve">    "EXCHANGEENTERPRISE_GOV" = "Microsoft Office 365 Exchange Online (Plan 2) only for Government"</t>
  </si>
  <si>
    <t xml:space="preserve">    "STANDARDPACK_GOV" = "Microsoft Office 365 (Plan G1) for Government"</t>
  </si>
  <si>
    <t xml:space="preserve">    "STANDARDWOFFPACK_GOV" = "Microsoft Office 365 (Plan G2) for Government"</t>
  </si>
  <si>
    <t xml:space="preserve">    "ENTERPRISEPACK_GOV" = "Microsoft Office 365 (Plan G3) for Government"</t>
  </si>
  <si>
    <t xml:space="preserve">    "WACSHAREPOINTSTD" = "Office Web Apps with SharePoint Plan 1"</t>
  </si>
  <si>
    <t xml:space="preserve">    "WACSHAREPOINTENT" = "Office Web Apps with SharePoint Plan 2"</t>
  </si>
  <si>
    <t xml:space="preserve">    "SHAREPOINTSTANDARD" = "SharePoint Online (Plan 1)"</t>
  </si>
  <si>
    <t xml:space="preserve">    "SHAREPOINTENTERPRISE" = "SharePoint Online (Plan 2)"</t>
  </si>
  <si>
    <t xml:space="preserve">    "SHAREPOINTDESKLESS" = "SharePoint Online Kiosk"</t>
  </si>
  <si>
    <t xml:space="preserve">    "SHAREPOINTPARTNER" = "SharePoint Online Partner Access"</t>
  </si>
  <si>
    <t xml:space="preserve">    "SHAREPOINTSTORAGE" = "SharePoint Online Storage" </t>
  </si>
  <si>
    <t>write-host "Working…."</t>
  </si>
  <si>
    <t>Added additional License SKU's</t>
  </si>
  <si>
    <t xml:space="preserve">   "MCOIMP" = "Lync Online (Plan 1)"</t>
  </si>
  <si>
    <t>Fixed some bugs in code.</t>
  </si>
  <si>
    <t>Fixed and issue where blank cells cause refresh issue on planned sheet</t>
  </si>
  <si>
    <r>
      <t>Instructions</t>
    </r>
    <r>
      <rPr>
        <sz val="11"/>
        <rFont val="Calibri"/>
        <family val="2"/>
      </rPr>
      <t xml:space="preserve">: Fill in the areas marked </t>
    </r>
    <r>
      <rPr>
        <sz val="11"/>
        <color theme="1"/>
        <rFont val="Calibri"/>
        <family val="2"/>
      </rPr>
      <t xml:space="preserve">yellow on the Planned Sheet. </t>
    </r>
    <r>
      <rPr>
        <sz val="11"/>
        <rFont val="Calibri"/>
        <family val="2"/>
      </rPr>
      <t xml:space="preserve"> </t>
    </r>
  </si>
  <si>
    <t xml:space="preserve">     $TotalInProgressDuration = $moveRequest.TotalInProgressDuration.TotalMinutes</t>
  </si>
  <si>
    <t xml:space="preserve">          [int]$bytesTransferredConvert = [System.Convert]::ToDecimal($bytesTransferred)*1024</t>
  </si>
  <si>
    <t xml:space="preserve">        [int]$bytesTransferredConvert = [System.Convert]::ToDecimal($bytesTransferred)</t>
  </si>
  <si>
    <t xml:space="preserve">          [int]$bytesTransferredConvert = [System.Convert]::ToDecimal($bytesTransferred)/1024</t>
  </si>
  <si>
    <t xml:space="preserve">    [int]$bytesTransferredPerMinute = $bytesTransferredConvert/$TotalInProgressDuration</t>
  </si>
  <si>
    <t xml:space="preserve">    $obj = New-Object PSObject -Property @{"DisplayName" = $displayName;"MBTransferred" = $bytesTransferredConvert;"OverallDuration" = $TotalInProgressDuration;"MBPerMinute" = $bytesTransferredPerMinute;"Status" = $Status }</t>
  </si>
  <si>
    <t>Concurrent Moves</t>
  </si>
  <si>
    <t>Megabyte per minute during testing</t>
  </si>
  <si>
    <t xml:space="preserve">             "RMS_S_*" { $thisLicense = "Azure RMS" }</t>
  </si>
  <si>
    <t>Changed batch estimation to incorporate concurrent moves</t>
  </si>
  <si>
    <t>get-moverequest | where {$_.status -like '*Suspended'}|Resume-Moverequest</t>
  </si>
  <si>
    <t>write-host "get-moverequest | where {$_.status -like '*Suspended'}|Resume-Moverequest"</t>
  </si>
  <si>
    <t>if($verifyonly -eq "")</t>
  </si>
  <si>
    <t xml:space="preserve">   Write-host "$curdatetime : All move requests have been initiated.`r`n" -foregroundcolor green</t>
  </si>
  <si>
    <t>else</t>
  </si>
  <si>
    <t xml:space="preserve">   Write-host "$curdatetime : All move requests have been verified - no moves were initiated.`r`n" -foregroundcolor green</t>
  </si>
  <si>
    <t xml:space="preserve">}  </t>
  </si>
  <si>
    <t>Updated verify only code blocks</t>
  </si>
  <si>
    <t xml:space="preserve"> [System.Int32] $SuspendMovesWhenReady,</t>
  </si>
  <si>
    <t xml:space="preserve"> [System.Int32] $LargeItemLimit</t>
  </si>
  <si>
    <t xml:space="preserve"> </t>
  </si>
  <si>
    <t xml:space="preserve">                  if ($verifyonly)</t>
  </si>
  <si>
    <t xml:space="preserve"> [hashtable]$Return = @{}</t>
  </si>
  <si>
    <t xml:space="preserve"> try</t>
  </si>
  <si>
    <t xml:space="preserve">                $moveRequest = get-moverequest $UPN -ErrorAction Stop</t>
  </si>
  <si>
    <t xml:space="preserve">                $Return.displayname =  $moveRequest.displayname</t>
  </si>
  <si>
    <t xml:space="preserve">                $Return.status =  $moveRequest.status</t>
  </si>
  <si>
    <t xml:space="preserve">                $Return.success =  $True</t>
  </si>
  <si>
    <t xml:space="preserve">        catch</t>
  </si>
  <si>
    <t xml:space="preserve">                #write-host "No previous Move Request Exists"</t>
  </si>
  <si>
    <t xml:space="preserve">                $Return.success =  $false</t>
  </si>
  <si>
    <t xml:space="preserve">                    {</t>
  </si>
  <si>
    <t xml:space="preserve">                       new-moverequest -identity $UPN -LargeItemLimit $largeItemLimit -BadItemLimit $BadItemLimit -acceptlargedataloss -Remote -RemoteHostName $RemoteHostName -RemoteCredential $adcred -TargetDeliveryDomain $TargetDeliveryDomain -SuspendWhenReadyToComplete -CompletedRequestAgeLimit 365</t>
  </si>
  <si>
    <t xml:space="preserve">                    }</t>
  </si>
  <si>
    <t xml:space="preserve">                    else</t>
  </si>
  <si>
    <t xml:space="preserve">                      new-moverequest -identity $UPN -BadItemLimit $BadItemLimit -acceptlargedataloss -Remote -RemoteHostName $RemoteHostName -RemoteCredential $adcred -TargetDeliveryDomain $TargetDeliveryDomain -SuspendWhenReadyToComplete -CompletedRequestAgeLimit 365</t>
  </si>
  <si>
    <t xml:space="preserve">                   }</t>
  </si>
  <si>
    <t>Large Item Limit</t>
  </si>
  <si>
    <t>March 18, 2014</t>
  </si>
  <si>
    <t>2.0</t>
  </si>
  <si>
    <t xml:space="preserve">                    if($largeItemLimit -gt 0)</t>
  </si>
  <si>
    <t xml:space="preserve">    $curdatetime = date_time</t>
  </si>
  <si>
    <t xml:space="preserve">      $curdatetime = date_time</t>
  </si>
  <si>
    <t xml:space="preserve">    if($LargeItemLimit -gt 0)</t>
  </si>
  <si>
    <t>Added ability to specify Large Item Limit  on move requests</t>
  </si>
  <si>
    <t>$i=0</t>
  </si>
  <si>
    <t xml:space="preserve">       Write-host "$curdatetime : $UPN - WARNING LargeItemLimit is $largeitemlimit. Items larger than threshold will not be moved!!!!`r`n" -foregroundcolor yellow</t>
  </si>
  <si>
    <t>Fixed some execution issues with 64bit OS and 32 bit Office</t>
  </si>
  <si>
    <t>Fixed a bug that causes moves requests to always be suspendwhenreadytocomplete enabled</t>
  </si>
  <si>
    <t xml:space="preserve">                     new-moverequest -identity $UPN -LargeItemLimit $largeItemLimit -BadItemLimit $BadItemLimit -acceptlargedataloss -Remote -RemoteHostName $RemoteHostName -RemoteCredential $adcred -TargetDeliveryDomain $TargetDeliveryDomain -CompletedRequestAgeLimit 365</t>
  </si>
  <si>
    <t xml:space="preserve">                     new-moverequest -identity $UPN -BadItemLimit $BadItemLimit -acceptlargedataloss -Remote -RemoteHostName $RemoteHostName -RemoteCredential $adcred -TargetDeliveryDomain $TargetDeliveryDomain -CompletedRequestAgeLimit 365</t>
  </si>
  <si>
    <t xml:space="preserve">                       new-moverequest -identity $UPN -BadItemLimit $BadItemLimit -acceptlargedataloss -Remote -RemoteHostName $RemoteHostName -RemoteCredential $adcred -TargetDeliveryDomain $TargetDeliveryDomain -SuspendWhenReadyToComplete -CompletedRequestAgeLimit 365</t>
  </si>
  <si>
    <t>STANDARDWOFFPACK_STUDENT</t>
  </si>
  <si>
    <t>Minor license spelling mistake fixed with student pack.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</si>
</sst>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mmmm\ d\,\ yyyy;@"/>
  </numFmts>
  <fonts count="3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b/>
      <sz val="11"/>
      <color rgb="FFFF0000"/>
      <name val="Calibri"/>
      <family val="2"/>
      <scheme val="minor"/>
    </font>
    <font>
      <sz val="10"/>
      <name val="Calibri"/>
      <family val="2"/>
    </font>
    <font>
      <b/>
      <sz val="12"/>
      <color rgb="FFFF0000"/>
      <name val="Calibri"/>
      <family val="2"/>
      <scheme val="minor"/>
    </font>
    <font>
      <sz val="11"/>
      <color theme="3"/>
      <name val="Calibri"/>
      <family val="2"/>
      <scheme val="minor"/>
    </font>
    <font>
      <b/>
      <sz val="11"/>
      <name val="Calibri"/>
      <family val="2"/>
    </font>
    <font>
      <sz val="11"/>
      <name val="Calibri"/>
      <family val="2"/>
    </font>
    <font>
      <b/>
      <sz val="16"/>
      <color theme="4" tint="-0.249977111117893"/>
      <name val="Calibri"/>
      <family val="2"/>
      <scheme val="minor"/>
    </font>
    <font>
      <i/>
      <sz val="11"/>
      <name val="Calibri"/>
      <family val="2"/>
    </font>
    <font>
      <sz val="11"/>
      <color theme="1"/>
      <name val="Calibri"/>
      <family val="2"/>
    </font>
    <font>
      <sz val="9"/>
      <color indexed="81"/>
      <name val="Tahoma"/>
      <family val="2"/>
    </font>
    <font>
      <b/>
      <sz val="9"/>
      <color indexed="81"/>
      <name val="Tahoma"/>
      <family val="2"/>
    </font>
    <font>
      <b/>
      <sz val="11"/>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rgb="FFFFFF00"/>
        <bgColor indexed="64"/>
      </patternFill>
    </fill>
    <fill>
      <patternFill patternType="solid">
        <fgColor indexed="9"/>
        <bgColor indexed="64"/>
      </patternFill>
    </fill>
    <fill>
      <patternFill patternType="solid">
        <fgColor theme="8"/>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4" tint="0.39997558519241921"/>
      </right>
      <top style="thin">
        <color theme="4" tint="0.39997558519241921"/>
      </top>
      <bottom style="thin">
        <color theme="4" tint="0.39997558519241921"/>
      </bottom>
      <diagonal/>
    </border>
    <border>
      <left style="medium">
        <color indexed="64"/>
      </left>
      <right/>
      <top/>
      <bottom/>
      <diagonal/>
    </border>
    <border>
      <left/>
      <right style="medium">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cellStyleXfs>
  <cellXfs count="52">
    <xf numFmtId="0" fontId="0" fillId="0" borderId="0" xfId="0"/>
    <xf numFmtId="0" fontId="16" fillId="0" borderId="0" xfId="0" applyFont="1"/>
    <xf numFmtId="0" fontId="0" fillId="0" borderId="0" xfId="0" applyFont="1"/>
    <xf numFmtId="0" fontId="0" fillId="0" borderId="0" xfId="0" applyBorder="1"/>
    <xf numFmtId="0" fontId="13" fillId="33" borderId="0" xfId="0" applyFont="1" applyFill="1" applyBorder="1"/>
    <xf numFmtId="0" fontId="20" fillId="0" borderId="0" xfId="0" applyFont="1"/>
    <xf numFmtId="49" fontId="20" fillId="0" borderId="0" xfId="0" applyNumberFormat="1" applyFont="1" applyAlignment="1">
      <alignment horizontal="left"/>
    </xf>
    <xf numFmtId="1" fontId="20" fillId="0" borderId="0" xfId="0" applyNumberFormat="1" applyFont="1" applyAlignment="1">
      <alignment horizontal="left"/>
    </xf>
    <xf numFmtId="2" fontId="20" fillId="0" borderId="0" xfId="0" applyNumberFormat="1" applyFont="1" applyAlignment="1">
      <alignment horizontal="left"/>
    </xf>
    <xf numFmtId="164" fontId="20" fillId="0" borderId="0" xfId="0" applyNumberFormat="1" applyFont="1" applyAlignment="1">
      <alignment horizontal="left"/>
    </xf>
    <xf numFmtId="164" fontId="0" fillId="0" borderId="0" xfId="0" applyNumberFormat="1" applyAlignment="1">
      <alignment horizontal="left"/>
    </xf>
    <xf numFmtId="0" fontId="0" fillId="0" borderId="0" xfId="0" applyFont="1" applyFill="1" applyBorder="1"/>
    <xf numFmtId="0" fontId="19" fillId="0" borderId="0" xfId="0" applyFont="1" applyFill="1" applyBorder="1"/>
    <xf numFmtId="0" fontId="16" fillId="0" borderId="0" xfId="0" applyFont="1" applyBorder="1" applyAlignment="1">
      <alignment horizontal="center" vertical="center"/>
    </xf>
    <xf numFmtId="0" fontId="16" fillId="34" borderId="0" xfId="0" applyFont="1" applyFill="1" applyBorder="1"/>
    <xf numFmtId="0" fontId="16" fillId="0" borderId="0" xfId="0" applyFont="1" applyAlignment="1">
      <alignment horizontal="left"/>
    </xf>
    <xf numFmtId="0" fontId="21" fillId="0" borderId="0" xfId="0" applyFont="1" applyAlignment="1">
      <alignment horizontal="center"/>
    </xf>
    <xf numFmtId="0" fontId="0" fillId="0" borderId="0" xfId="0" applyAlignment="1">
      <alignment horizontal="left"/>
    </xf>
    <xf numFmtId="14" fontId="0" fillId="0" borderId="0" xfId="0" applyNumberFormat="1" applyFont="1" applyFill="1" applyBorder="1"/>
    <xf numFmtId="0" fontId="13" fillId="33" borderId="13" xfId="15" applyFont="1" applyFill="1" applyBorder="1" applyAlignment="1">
      <alignment horizontal="center"/>
    </xf>
    <xf numFmtId="0" fontId="13" fillId="33" borderId="13" xfId="15" applyFont="1" applyFill="1" applyBorder="1"/>
    <xf numFmtId="0" fontId="25" fillId="0" borderId="0" xfId="0" applyFont="1" applyBorder="1"/>
    <xf numFmtId="0" fontId="5" fillId="0" borderId="14" xfId="0" applyFont="1" applyBorder="1"/>
    <xf numFmtId="0" fontId="22" fillId="0" borderId="15" xfId="0" applyFont="1" applyBorder="1"/>
    <xf numFmtId="0" fontId="22" fillId="0" borderId="16" xfId="0" applyFont="1" applyBorder="1"/>
    <xf numFmtId="0" fontId="22" fillId="0" borderId="11" xfId="0" applyFont="1" applyBorder="1"/>
    <xf numFmtId="0" fontId="0" fillId="0" borderId="12" xfId="0" applyBorder="1"/>
    <xf numFmtId="0" fontId="0" fillId="0" borderId="17" xfId="0" applyBorder="1"/>
    <xf numFmtId="0" fontId="0" fillId="0" borderId="18" xfId="0" applyBorder="1"/>
    <xf numFmtId="0" fontId="0" fillId="0" borderId="19" xfId="0" applyBorder="1"/>
    <xf numFmtId="0" fontId="0" fillId="34" borderId="0" xfId="0" applyFill="1"/>
    <xf numFmtId="0" fontId="13" fillId="33" borderId="10" xfId="0" applyFont="1" applyFill="1" applyBorder="1" applyAlignment="1"/>
    <xf numFmtId="0" fontId="16" fillId="0" borderId="11" xfId="0" applyFont="1" applyBorder="1"/>
    <xf numFmtId="0" fontId="0" fillId="0" borderId="0" xfId="0" applyFont="1" applyFill="1" applyBorder="1" applyAlignment="1">
      <alignment wrapText="1"/>
    </xf>
    <xf numFmtId="0" fontId="13" fillId="36" borderId="0" xfId="0" applyFont="1" applyFill="1" applyBorder="1"/>
    <xf numFmtId="0" fontId="0" fillId="0" borderId="0" xfId="0" applyNumberFormat="1"/>
    <xf numFmtId="0" fontId="0" fillId="0" borderId="0" xfId="0" pivotButton="1"/>
    <xf numFmtId="0" fontId="16" fillId="0" borderId="0" xfId="0" applyFont="1" applyAlignment="1">
      <alignment horizontal="center"/>
    </xf>
    <xf numFmtId="0" fontId="0" fillId="0" borderId="0" xfId="0" applyFill="1"/>
    <xf numFmtId="0" fontId="30" fillId="0" borderId="0" xfId="0" applyFont="1" applyFill="1" applyAlignment="1"/>
    <xf numFmtId="0" fontId="19" fillId="0" borderId="0" xfId="0" applyFont="1"/>
    <xf numFmtId="0" fontId="23" fillId="0" borderId="11" xfId="42" applyFont="1" applyFill="1" applyBorder="1" applyAlignment="1">
      <alignment vertical="center" wrapText="1"/>
    </xf>
    <xf numFmtId="0" fontId="24" fillId="0" borderId="0" xfId="42" applyFont="1" applyFill="1" applyBorder="1" applyAlignment="1">
      <alignment vertical="center" wrapText="1"/>
    </xf>
    <xf numFmtId="0" fontId="24" fillId="0" borderId="12" xfId="42" applyFont="1" applyFill="1" applyBorder="1" applyAlignment="1">
      <alignment vertical="center" wrapText="1"/>
    </xf>
    <xf numFmtId="0" fontId="23" fillId="35" borderId="11" xfId="42" applyFont="1" applyFill="1" applyBorder="1" applyAlignment="1">
      <alignment horizontal="left" vertical="top" wrapText="1"/>
    </xf>
    <xf numFmtId="0" fontId="23" fillId="35" borderId="0" xfId="42" applyFont="1" applyFill="1" applyBorder="1" applyAlignment="1">
      <alignment horizontal="left" vertical="top" wrapText="1"/>
    </xf>
    <xf numFmtId="0" fontId="23" fillId="35" borderId="12" xfId="42" applyFont="1" applyFill="1" applyBorder="1" applyAlignment="1">
      <alignment horizontal="left" vertical="top" wrapText="1"/>
    </xf>
    <xf numFmtId="0" fontId="23" fillId="35" borderId="11" xfId="42" applyFont="1" applyFill="1" applyBorder="1" applyAlignment="1">
      <alignment horizontal="left" vertical="center" wrapText="1"/>
    </xf>
    <xf numFmtId="0" fontId="23" fillId="35" borderId="0" xfId="42" applyFont="1" applyFill="1" applyBorder="1" applyAlignment="1">
      <alignment horizontal="left" vertical="center" wrapText="1"/>
    </xf>
    <xf numFmtId="0" fontId="23" fillId="35" borderId="12" xfId="42" applyFont="1" applyFill="1" applyBorder="1" applyAlignment="1">
      <alignment horizontal="left" vertical="center" wrapText="1"/>
    </xf>
    <xf numFmtId="0" fontId="16" fillId="34" borderId="0" xfId="0" applyFont="1" applyFill="1" applyAlignment="1">
      <alignment horizontal="left"/>
    </xf>
    <xf numFmtId="0" fontId="13" fillId="33" borderId="0" xfId="0" applyFont="1" applyFill="1" applyAlignment="1">
      <alignment horizontal="left"/>
    </xf>
  </cellXfs>
  <cellStyles count="43">
    <cellStyle name="20 % - Akzent1" xfId="19" builtinId="30" customBuiltin="1"/>
    <cellStyle name="20 % - Akzent2" xfId="23" builtinId="34" customBuiltin="1"/>
    <cellStyle name="20 % - Akzent3" xfId="27" builtinId="38" customBuiltin="1"/>
    <cellStyle name="20 % - Akzent4" xfId="31" builtinId="42" customBuiltin="1"/>
    <cellStyle name="20 % - Akzent5" xfId="35" builtinId="46" customBuiltin="1"/>
    <cellStyle name="20 % - Akzent6" xfId="39" builtinId="50" customBuiltin="1"/>
    <cellStyle name="40 % - Akzent1" xfId="20" builtinId="31" customBuiltin="1"/>
    <cellStyle name="40 % - Akzent2" xfId="24" builtinId="35" customBuiltin="1"/>
    <cellStyle name="40 % - Akzent3" xfId="28" builtinId="39" customBuiltin="1"/>
    <cellStyle name="40 % - Akzent4" xfId="32" builtinId="43" customBuiltin="1"/>
    <cellStyle name="40 % - Akzent5" xfId="36" builtinId="47" customBuiltin="1"/>
    <cellStyle name="40 % - Akzent6" xfId="40" builtinId="51" customBuiltin="1"/>
    <cellStyle name="60 % - Akzent1" xfId="21" builtinId="32" customBuiltin="1"/>
    <cellStyle name="60 % - Akzent2" xfId="25" builtinId="36" customBuiltin="1"/>
    <cellStyle name="60 % - Akzent3" xfId="29" builtinId="40" customBuiltin="1"/>
    <cellStyle name="60 % - Akzent4" xfId="33" builtinId="44" customBuiltin="1"/>
    <cellStyle name="60 % - Akzent5" xfId="37" builtinId="48" customBuiltin="1"/>
    <cellStyle name="60 % - Akzent6" xfId="41" builtinId="52" customBuiltin="1"/>
    <cellStyle name="Akzent1" xfId="18" builtinId="29" customBuiltin="1"/>
    <cellStyle name="Akzent2" xfId="22" builtinId="33" customBuiltin="1"/>
    <cellStyle name="Akzent3" xfId="26" builtinId="37" customBuiltin="1"/>
    <cellStyle name="Akzent4" xfId="30" builtinId="41" customBuiltin="1"/>
    <cellStyle name="Akzent5" xfId="34" builtinId="45" customBuiltin="1"/>
    <cellStyle name="Akzent6" xfId="38" builtinId="49" customBuiltin="1"/>
    <cellStyle name="Ausgabe" xfId="10" builtinId="21" customBuiltin="1"/>
    <cellStyle name="Berechnung" xfId="11" builtinId="22" customBuiltin="1"/>
    <cellStyle name="Eingabe" xfId="9" builtinId="20" customBuiltin="1"/>
    <cellStyle name="Ergebnis" xfId="17" builtinId="25" customBuiltin="1"/>
    <cellStyle name="Erklärender Text" xfId="16" builtinId="53" customBuiltin="1"/>
    <cellStyle name="Gut" xfId="6" builtinId="26" customBuiltin="1"/>
    <cellStyle name="Neutral" xfId="8" builtinId="28" customBuiltin="1"/>
    <cellStyle name="Normal 2" xfId="42"/>
    <cellStyle name="Notiz" xfId="15" builtinId="10" customBuiltin="1"/>
    <cellStyle name="Schlecht" xfId="7" builtinId="27" customBuiltin="1"/>
    <cellStyle name="Standard" xfId="0" builtinId="0"/>
    <cellStyle name="Überschrift" xfId="1" builtinId="15" customBuiltin="1"/>
    <cellStyle name="Überschrift 1" xfId="2" builtinId="16" customBuiltin="1"/>
    <cellStyle name="Überschrift 2" xfId="3" builtinId="17" customBuiltin="1"/>
    <cellStyle name="Überschrift 3" xfId="4" builtinId="18" customBuiltin="1"/>
    <cellStyle name="Überschrift 4" xfId="5" builtinId="19" customBuiltin="1"/>
    <cellStyle name="Verknüpfte Zelle" xfId="12" builtinId="24" customBuiltin="1"/>
    <cellStyle name="Warnender Text" xfId="14" builtinId="11" customBuiltin="1"/>
    <cellStyle name="Zelle überprüfen" xfId="13" builtinId="23"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[Office365_Hybrid_Migration_Management_1.2_UTF8.xlsm]Licensing Pivot Chart!License_Reports</c:name>
    <c:fmtId val="0"/>
  </c:pivotSource>
  <c:chart>
    <c:title>
      <c:overlay val="0"/>
    </c:title>
    <c:autoTitleDeleted val="0"/>
    <c:pivotFmts>
      <c:pivotFmt>
        <c:idx val="0"/>
        <c:marker>
          <c:symbol val="none"/>
        </c:marker>
      </c:pivotFmt>
      <c:pivotFmt>
        <c:idx val="1"/>
        <c:spPr>
          <a:solidFill>
            <a:schemeClr val="accent1"/>
          </a:solidFill>
        </c:spPr>
      </c:pivotFmt>
      <c:pivotFmt>
        <c:idx val="2"/>
        <c:spPr>
          <a:solidFill>
            <a:schemeClr val="accent4">
              <a:lumMod val="40000"/>
              <a:lumOff val="60000"/>
            </a:schemeClr>
          </a:solidFill>
        </c:spPr>
        <c:marker>
          <c:symbol val="none"/>
        </c:marker>
      </c:pivotFmt>
      <c:pivotFmt>
        <c:idx val="3"/>
        <c:spPr>
          <a:solidFill>
            <a:schemeClr val="accent1">
              <a:lumMod val="75000"/>
            </a:schemeClr>
          </a:solidFill>
        </c:spPr>
        <c:marker>
          <c:symbol val="none"/>
        </c:marker>
      </c:pivotFmt>
      <c:pivotFmt>
        <c:idx val="4"/>
        <c:spPr>
          <a:solidFill>
            <a:schemeClr val="accent2">
              <a:lumMod val="60000"/>
              <a:lumOff val="40000"/>
            </a:schemeClr>
          </a:solidFill>
        </c:spPr>
        <c:marker>
          <c:symbol val="none"/>
        </c:marker>
      </c:pivotFmt>
      <c:pivotFmt>
        <c:idx val="5"/>
        <c:spPr>
          <a:solidFill>
            <a:srgbClr val="FF0000"/>
          </a:solidFill>
        </c:spPr>
        <c:marker>
          <c:symbol val="none"/>
        </c:marker>
      </c:pivotFmt>
    </c:pivotFmts>
    <c:plotArea>
      <c:layout/>
      <c:barChart>
        <c:barDir val="col"/>
        <c:grouping val="clustered"/>
        <c:varyColors val="0"/>
        <c:ser>
          <c:idx val="0"/>
          <c:order val="0"/>
          <c:tx>
            <c:strRef>
              <c:f>'Licensing Pivot Chart'!$B$1:$B$2</c:f>
              <c:strCache>
                <c:ptCount val="1"/>
                <c:pt idx="0">
                  <c:v>Gesamtergebnis</c:v>
                </c:pt>
              </c:strCache>
            </c:strRef>
          </c:tx>
          <c:invertIfNegative val="0"/>
          <c:cat>
            <c:strRef>
              <c:f>'Licensing Pivot Chart'!$A$3</c:f>
              <c:strCache>
                <c:ptCount val="1"/>
                <c:pt idx="0">
                  <c:v>Gesamtergebnis</c:v>
                </c:pt>
              </c:strCache>
            </c:strRef>
          </c:cat>
          <c:val>
            <c:numRef>
              <c:f>'Licensing Pivot Chart'!$B$3</c:f>
              <c:numCache>
                <c:formatCode>General</c:formatCode>
                <c:ptCount val="1"/>
              </c:numCache>
            </c:numRef>
          </c:val>
          <c:extLst>
            <c:ext xmlns:c16="http://schemas.microsoft.com/office/drawing/2014/chart" uri="{C3380CC4-5D6E-409C-BE32-E72D297353CC}">
              <c16:uniqueId val="{00000000-9424-4B1A-9D16-82B64F59DE37}"/>
            </c:ext>
          </c:extLst>
        </c:ser>
        <c:dLbls>
          <c:showLegendKey val="0"/>
          <c:showVal val="0"/>
          <c:showCatName val="0"/>
          <c:showSerName val="0"/>
          <c:showPercent val="0"/>
          <c:showBubbleSize val="0"/>
        </c:dLbls>
        <c:gapWidth val="150"/>
        <c:axId val="351890608"/>
        <c:axId val="351891000"/>
      </c:barChart>
      <c:catAx>
        <c:axId val="351890608"/>
        <c:scaling>
          <c:orientation val="minMax"/>
        </c:scaling>
        <c:delete val="0"/>
        <c:axPos val="b"/>
        <c:numFmt formatCode="General" sourceLinked="0"/>
        <c:majorTickMark val="out"/>
        <c:minorTickMark val="none"/>
        <c:tickLblPos val="nextTo"/>
        <c:crossAx val="351891000"/>
        <c:crosses val="autoZero"/>
        <c:auto val="1"/>
        <c:lblAlgn val="ctr"/>
        <c:lblOffset val="100"/>
        <c:noMultiLvlLbl val="0"/>
      </c:catAx>
      <c:valAx>
        <c:axId val="351891000"/>
        <c:scaling>
          <c:orientation val="minMax"/>
        </c:scaling>
        <c:delete val="0"/>
        <c:axPos val="l"/>
        <c:majorGridlines/>
        <c:numFmt formatCode="General" sourceLinked="1"/>
        <c:majorTickMark val="out"/>
        <c:minorTickMark val="none"/>
        <c:tickLblPos val="nextTo"/>
        <c:crossAx val="3518906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2438400</xdr:colOff>
          <xdr:row>5</xdr:row>
          <xdr:rowOff>933450</xdr:rowOff>
        </xdr:from>
        <xdr:to>
          <xdr:col>3</xdr:col>
          <xdr:colOff>3790950</xdr:colOff>
          <xdr:row>7</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Import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0</xdr:row>
          <xdr:rowOff>19050</xdr:rowOff>
        </xdr:from>
        <xdr:to>
          <xdr:col>10</xdr:col>
          <xdr:colOff>19050</xdr:colOff>
          <xdr:row>0</xdr:row>
          <xdr:rowOff>222250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0</xdr:row>
          <xdr:rowOff>31750</xdr:rowOff>
        </xdr:from>
        <xdr:to>
          <xdr:col>10</xdr:col>
          <xdr:colOff>1143000</xdr:colOff>
          <xdr:row>0</xdr:row>
          <xdr:rowOff>222250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Activate Licenses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1143000</xdr:colOff>
          <xdr:row>0</xdr:row>
          <xdr:rowOff>19050</xdr:rowOff>
        </xdr:from>
        <xdr:to>
          <xdr:col>10</xdr:col>
          <xdr:colOff>2032000</xdr:colOff>
          <xdr:row>0</xdr:row>
          <xdr:rowOff>222250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Export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2032000</xdr:colOff>
          <xdr:row>0</xdr:row>
          <xdr:rowOff>19050</xdr:rowOff>
        </xdr:from>
        <xdr:to>
          <xdr:col>11</xdr:col>
          <xdr:colOff>438150</xdr:colOff>
          <xdr:row>0</xdr:row>
          <xdr:rowOff>222250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Migrate Mailboxes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0</xdr:row>
          <xdr:rowOff>222250</xdr:rowOff>
        </xdr:from>
        <xdr:to>
          <xdr:col>10</xdr:col>
          <xdr:colOff>1504950</xdr:colOff>
          <xdr:row>2</xdr:row>
          <xdr:rowOff>12700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Show InProgress moves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19</xdr:row>
          <xdr:rowOff>171450</xdr:rowOff>
        </xdr:from>
        <xdr:to>
          <xdr:col>10</xdr:col>
          <xdr:colOff>2165350</xdr:colOff>
          <xdr:row>20</xdr:row>
          <xdr:rowOff>171450</xdr:rowOff>
        </xdr:to>
        <xdr:sp macro="" textlink="">
          <xdr:nvSpPr>
            <xdr:cNvPr id="3083" name="SuspendMoves"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20</xdr:row>
          <xdr:rowOff>171450</xdr:rowOff>
        </xdr:from>
        <xdr:to>
          <xdr:col>10</xdr:col>
          <xdr:colOff>2165350</xdr:colOff>
          <xdr:row>21</xdr:row>
          <xdr:rowOff>171450</xdr:rowOff>
        </xdr:to>
        <xdr:sp macro="" textlink="">
          <xdr:nvSpPr>
            <xdr:cNvPr id="3085" name="FinalizeMoves" hidden="1">
              <a:extLst>
                <a:ext uri="{63B3BB69-23CF-44E3-9099-C40C66FF867C}">
                  <a14:compatExt spid="_x0000_s3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1504950</xdr:colOff>
          <xdr:row>0</xdr:row>
          <xdr:rowOff>222250</xdr:rowOff>
        </xdr:from>
        <xdr:to>
          <xdr:col>11</xdr:col>
          <xdr:colOff>438150</xdr:colOff>
          <xdr:row>2</xdr:row>
          <xdr:rowOff>12700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Resume Suspended Moves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438150</xdr:colOff>
          <xdr:row>0</xdr:row>
          <xdr:rowOff>12700</xdr:rowOff>
        </xdr:from>
        <xdr:to>
          <xdr:col>12</xdr:col>
          <xdr:colOff>247650</xdr:colOff>
          <xdr:row>2</xdr:row>
          <xdr:rowOff>12700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Remote PowerShell Session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0</xdr:row>
          <xdr:rowOff>19050</xdr:rowOff>
        </xdr:from>
        <xdr:to>
          <xdr:col>4</xdr:col>
          <xdr:colOff>0</xdr:colOff>
          <xdr:row>1</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12700</xdr:colOff>
          <xdr:row>0</xdr:row>
          <xdr:rowOff>19050</xdr:rowOff>
        </xdr:from>
        <xdr:to>
          <xdr:col>11</xdr:col>
          <xdr:colOff>12700</xdr:colOff>
          <xdr:row>1</xdr:row>
          <xdr:rowOff>19050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Get 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1</xdr:row>
          <xdr:rowOff>19050</xdr:rowOff>
        </xdr:from>
        <xdr:to>
          <xdr:col>11</xdr:col>
          <xdr:colOff>12700</xdr:colOff>
          <xdr:row>2</xdr:row>
          <xdr:rowOff>19050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Import and calculate</a:t>
              </a:r>
            </a:p>
            <a:p>
              <a:pPr algn="ctr" rtl="0">
                <a:defRPr sz="1000"/>
              </a:pPr>
              <a:endParaRPr lang="de-DE" sz="1100" b="0" i="0" u="none" strike="noStrike" baseline="0">
                <a:solidFill>
                  <a:srgbClr val="000000"/>
                </a:solidFill>
                <a:latin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241300</xdr:colOff>
          <xdr:row>0</xdr:row>
          <xdr:rowOff>31750</xdr:rowOff>
        </xdr:from>
        <xdr:to>
          <xdr:col>7</xdr:col>
          <xdr:colOff>0</xdr:colOff>
          <xdr:row>1</xdr:row>
          <xdr:rowOff>165100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Get License data from Tenant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241300</xdr:colOff>
          <xdr:row>1</xdr:row>
          <xdr:rowOff>165100</xdr:rowOff>
        </xdr:from>
        <xdr:to>
          <xdr:col>7</xdr:col>
          <xdr:colOff>0</xdr:colOff>
          <xdr:row>3</xdr:row>
          <xdr:rowOff>127000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rPr>
                <a:t>Import License Report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619125</xdr:colOff>
      <xdr:row>0</xdr:row>
      <xdr:rowOff>42861</xdr:rowOff>
    </xdr:from>
    <xdr:to>
      <xdr:col>22</xdr:col>
      <xdr:colOff>133350</xdr:colOff>
      <xdr:row>32</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SkyDrive\Exchange%202010%20NetCalc\Exchange%20Client%20Network%20Bandwidth%20Calculator%20-%20Public.0.48BETA4%20-%20TimeZone.v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lient Mix"/>
      <sheetName val="Data Tables"/>
      <sheetName val="Tools"/>
      <sheetName val="Scaling Tables"/>
      <sheetName val="Version Changes"/>
    </sheetNames>
    <sheetDataSet>
      <sheetData sheetId="0" refreshError="1"/>
      <sheetData sheetId="1" refreshError="1"/>
      <sheetData sheetId="2" refreshError="1"/>
      <sheetData sheetId="3" refreshError="1"/>
      <sheetData sheetId="4" refreshError="1"/>
      <sheetData sheetId="5">
        <row r="31">
          <cell r="D31" t="str">
            <v>0.48 PUBLIC BETA4 + TimeZone v5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chael Hall (MCS)" refreshedDate="41938.772945254626" createdVersion="4" refreshedVersion="5" minRefreshableVersion="3" recordCount="1">
  <cacheSource type="worksheet">
    <worksheetSource ref="A1:D990005" sheet="License_Report"/>
  </cacheSource>
  <cacheFields count="4">
    <cacheField name="DisplayName" numFmtId="0">
      <sharedItems containsNonDate="0" containsString="0" containsBlank="1"/>
    </cacheField>
    <cacheField name="AccountSku" numFmtId="0">
      <sharedItems containsNonDate="0" containsBlank="1" count="8">
        <m/>
        <s v="Project Online Plan 2" u="1"/>
        <s v="Intune for Office 365" u="1"/>
        <s v="Visio Pro for Office 365" u="1"/>
        <s v="Microsoft Office 365 (Plan E1)" u="1"/>
        <s v="Project Pro for Office 365" u="1"/>
        <s v="Project Online Plan 1" u="1"/>
        <s v="Microsoft Office 365 (Plan E3)" u="1"/>
      </sharedItems>
    </cacheField>
    <cacheField name="ServiceName" numFmtId="0">
      <sharedItems containsNonDate="0" containsBlank="1" count="12">
        <m/>
        <s v="RMS Online" u="1"/>
        <s v="Exchange Online" u="1"/>
        <s v="Visio Professional" u="1"/>
        <s v="Office Web Apps" u="1"/>
        <s v="Sharepoint Online" u="1"/>
        <s v="Office Professional Plus" u="1"/>
        <s v="Intune" u="1"/>
        <s v="Lync Online" u="1"/>
        <s v="Project Online" u="1"/>
        <s v="Project Professional" u="1"/>
        <s v="Azure RMS" u="1"/>
      </sharedItems>
    </cacheField>
    <cacheField name="ProvisioningStatus" numFmtId="0">
      <sharedItems containsNonDate="0" containsBlank="1" count="5">
        <m/>
        <s v="PendingInput" u="1"/>
        <s v="Disabled" u="1"/>
        <s v="Error" u="1"/>
        <s v="Succes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License_Reports" cacheId="0"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1">
  <location ref="A1:B3" firstHeaderRow="1" firstDataRow="2" firstDataCol="1"/>
  <pivotFields count="4">
    <pivotField dataField="1" showAll="0"/>
    <pivotField axis="axisRow" showAll="0">
      <items count="9">
        <item m="1" x="7"/>
        <item m="1" x="5"/>
        <item m="1" x="3"/>
        <item m="1" x="6"/>
        <item m="1" x="2"/>
        <item x="0"/>
        <item m="1" x="4"/>
        <item m="1" x="1"/>
        <item t="default"/>
      </items>
    </pivotField>
    <pivotField axis="axisRow" showAll="0">
      <items count="13">
        <item m="1" x="2"/>
        <item m="1" x="8"/>
        <item m="1" x="6"/>
        <item m="1" x="4"/>
        <item m="1" x="1"/>
        <item m="1" x="5"/>
        <item m="1" x="10"/>
        <item m="1" x="3"/>
        <item m="1" x="9"/>
        <item m="1" x="7"/>
        <item x="0"/>
        <item m="1" x="11"/>
        <item t="default"/>
      </items>
    </pivotField>
    <pivotField axis="axisCol" showAll="0">
      <items count="6">
        <item m="1" x="1"/>
        <item m="1" x="4"/>
        <item m="1" x="3"/>
        <item m="1" x="2"/>
        <item h="1" x="0"/>
        <item t="default"/>
      </items>
    </pivotField>
  </pivotFields>
  <rowFields count="2">
    <field x="1"/>
    <field x="2"/>
  </rowFields>
  <rowItems count="1">
    <i t="grand">
      <x/>
    </i>
  </rowItems>
  <colFields count="1">
    <field x="3"/>
  </colFields>
  <colItems count="1">
    <i t="grand">
      <x/>
    </i>
  </colItems>
  <dataFields count="1">
    <dataField name="Count of DisplayName"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3" count="1" selected="0">
            <x v="1"/>
          </reference>
        </references>
      </pivotArea>
    </chartFormat>
    <chartFormat chart="0" format="4"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APTURE_25" preserveFormatting="0" connectionId="1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New Text Document"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APTURE_3" connectionId="2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CAPTURE_5"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CAPTURE" connectionId="1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CAPTURE_17" connectionId="2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CAPTURE_9" connectionId="1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CAPTURE_13" connectionId="2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CAPTURE_12" connectionId="2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CAPTURE_8" connectionId="1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APTURE_16"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CAPTURE_7" connectionId="1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CAPTURE_6" connectionId="1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CAPTURE_15" connectionId="2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CAPTURE_4" connectionId="3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CAPTURE_10" connectionId="1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CAPTURE_11" connectionId="2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CAPTURE_14" connectionId="2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CAPTURE" connectionId="2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CAPTURE_11" connectionId="3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CAPTURE_13" connectionId="4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CAPTURE_7" connectionId="3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CAPTURE_8" connectionId="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CAPTURE_21" connectionId="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CAPTURE_12" connectionId="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CAPTURE_25"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CAPTURE_17" connectionId="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CAPTURE_19" connectionId="3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CAPTURE_16" connectionId="4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CAPTURE_2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CAPTURE_22"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CAPTURE_15" connectionId="4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CAPTURE_5" connectionId="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CAPTURE_23" connectionId="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CAPTURE_18" connectionId="3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CAPTURE_10" connectionId="3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CAPTURE_24" connectionId="1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CAPTURE_2" connectionId="3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CAPTURE_4"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CAPTURE_6" connectionId="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CAPTURE_3" connectionId="3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CAPTURE_14" connectionId="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trlProp" Target="../ctrlProps/ctrlProp6.xml"/><Relationship Id="rId2" Type="http://schemas.openxmlformats.org/officeDocument/2006/relationships/drawing" Target="../drawings/drawing2.xml"/><Relationship Id="rId16" Type="http://schemas.openxmlformats.org/officeDocument/2006/relationships/comments" Target="../comments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queryTable" Target="../queryTables/queryTable2.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18" Type="http://schemas.openxmlformats.org/officeDocument/2006/relationships/queryTable" Target="../queryTables/queryTable16.xml"/><Relationship Id="rId3" Type="http://schemas.openxmlformats.org/officeDocument/2006/relationships/ctrlProp" Target="../ctrlProps/ctrlProp10.xml"/><Relationship Id="rId7" Type="http://schemas.openxmlformats.org/officeDocument/2006/relationships/queryTable" Target="../queryTables/queryTable5.xml"/><Relationship Id="rId12" Type="http://schemas.openxmlformats.org/officeDocument/2006/relationships/queryTable" Target="../queryTables/queryTable10.xml"/><Relationship Id="rId17" Type="http://schemas.openxmlformats.org/officeDocument/2006/relationships/queryTable" Target="../queryTables/queryTable15.xml"/><Relationship Id="rId2" Type="http://schemas.openxmlformats.org/officeDocument/2006/relationships/vmlDrawing" Target="../drawings/vmlDrawing4.vml"/><Relationship Id="rId16" Type="http://schemas.openxmlformats.org/officeDocument/2006/relationships/queryTable" Target="../queryTables/queryTable14.xml"/><Relationship Id="rId20" Type="http://schemas.openxmlformats.org/officeDocument/2006/relationships/queryTable" Target="../queryTables/queryTable18.xml"/><Relationship Id="rId1" Type="http://schemas.openxmlformats.org/officeDocument/2006/relationships/drawing" Target="../drawings/drawing4.xml"/><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5" Type="http://schemas.openxmlformats.org/officeDocument/2006/relationships/queryTable" Target="../queryTables/queryTable13.xml"/><Relationship Id="rId10" Type="http://schemas.openxmlformats.org/officeDocument/2006/relationships/queryTable" Target="../queryTables/queryTable8.xml"/><Relationship Id="rId19" Type="http://schemas.openxmlformats.org/officeDocument/2006/relationships/queryTable" Target="../queryTables/queryTable17.xml"/><Relationship Id="rId4" Type="http://schemas.openxmlformats.org/officeDocument/2006/relationships/ctrlProp" Target="../ctrlProps/ctrlProp11.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_rels/sheet6.xml.rels><?xml version="1.0" encoding="UTF-8" standalone="yes"?>
<Relationships xmlns="http://schemas.openxmlformats.org/package/2006/relationships"><Relationship Id="rId8" Type="http://schemas.openxmlformats.org/officeDocument/2006/relationships/queryTable" Target="../queryTables/queryTable22.xml"/><Relationship Id="rId13" Type="http://schemas.openxmlformats.org/officeDocument/2006/relationships/queryTable" Target="../queryTables/queryTable27.xml"/><Relationship Id="rId18" Type="http://schemas.openxmlformats.org/officeDocument/2006/relationships/queryTable" Target="../queryTables/queryTable32.xml"/><Relationship Id="rId26" Type="http://schemas.openxmlformats.org/officeDocument/2006/relationships/queryTable" Target="../queryTables/queryTable40.xml"/><Relationship Id="rId3" Type="http://schemas.openxmlformats.org/officeDocument/2006/relationships/ctrlProp" Target="../ctrlProps/ctrlProp12.xml"/><Relationship Id="rId21" Type="http://schemas.openxmlformats.org/officeDocument/2006/relationships/queryTable" Target="../queryTables/queryTable35.xml"/><Relationship Id="rId7" Type="http://schemas.openxmlformats.org/officeDocument/2006/relationships/queryTable" Target="../queryTables/queryTable21.xml"/><Relationship Id="rId12" Type="http://schemas.openxmlformats.org/officeDocument/2006/relationships/queryTable" Target="../queryTables/queryTable26.xml"/><Relationship Id="rId17" Type="http://schemas.openxmlformats.org/officeDocument/2006/relationships/queryTable" Target="../queryTables/queryTable31.xml"/><Relationship Id="rId25" Type="http://schemas.openxmlformats.org/officeDocument/2006/relationships/queryTable" Target="../queryTables/queryTable39.xml"/><Relationship Id="rId2" Type="http://schemas.openxmlformats.org/officeDocument/2006/relationships/vmlDrawing" Target="../drawings/vmlDrawing5.vml"/><Relationship Id="rId16" Type="http://schemas.openxmlformats.org/officeDocument/2006/relationships/queryTable" Target="../queryTables/queryTable30.xml"/><Relationship Id="rId20" Type="http://schemas.openxmlformats.org/officeDocument/2006/relationships/queryTable" Target="../queryTables/queryTable34.xml"/><Relationship Id="rId1" Type="http://schemas.openxmlformats.org/officeDocument/2006/relationships/drawing" Target="../drawings/drawing5.xml"/><Relationship Id="rId6" Type="http://schemas.openxmlformats.org/officeDocument/2006/relationships/queryTable" Target="../queryTables/queryTable20.xml"/><Relationship Id="rId11" Type="http://schemas.openxmlformats.org/officeDocument/2006/relationships/queryTable" Target="../queryTables/queryTable25.xml"/><Relationship Id="rId24" Type="http://schemas.openxmlformats.org/officeDocument/2006/relationships/queryTable" Target="../queryTables/queryTable38.xml"/><Relationship Id="rId5" Type="http://schemas.openxmlformats.org/officeDocument/2006/relationships/queryTable" Target="../queryTables/queryTable19.xml"/><Relationship Id="rId15" Type="http://schemas.openxmlformats.org/officeDocument/2006/relationships/queryTable" Target="../queryTables/queryTable29.xml"/><Relationship Id="rId23" Type="http://schemas.openxmlformats.org/officeDocument/2006/relationships/queryTable" Target="../queryTables/queryTable37.xml"/><Relationship Id="rId28" Type="http://schemas.openxmlformats.org/officeDocument/2006/relationships/queryTable" Target="../queryTables/queryTable42.xml"/><Relationship Id="rId10" Type="http://schemas.openxmlformats.org/officeDocument/2006/relationships/queryTable" Target="../queryTables/queryTable24.xml"/><Relationship Id="rId19" Type="http://schemas.openxmlformats.org/officeDocument/2006/relationships/queryTable" Target="../queryTables/queryTable33.xml"/><Relationship Id="rId4" Type="http://schemas.openxmlformats.org/officeDocument/2006/relationships/ctrlProp" Target="../ctrlProps/ctrlProp13.xml"/><Relationship Id="rId9" Type="http://schemas.openxmlformats.org/officeDocument/2006/relationships/queryTable" Target="../queryTables/queryTable23.xml"/><Relationship Id="rId14" Type="http://schemas.openxmlformats.org/officeDocument/2006/relationships/queryTable" Target="../queryTables/queryTable28.xml"/><Relationship Id="rId22" Type="http://schemas.openxmlformats.org/officeDocument/2006/relationships/queryTable" Target="../queryTables/queryTable36.xml"/><Relationship Id="rId27" Type="http://schemas.openxmlformats.org/officeDocument/2006/relationships/queryTable" Target="../queryTables/queryTable4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12"/>
  <sheetViews>
    <sheetView showGridLines="0" tabSelected="1" workbookViewId="0">
      <selection activeCell="A5" sqref="A5:D6"/>
    </sheetView>
  </sheetViews>
  <sheetFormatPr baseColWidth="10" defaultColWidth="8.7265625" defaultRowHeight="14.5" x14ac:dyDescent="0.35"/>
  <cols>
    <col min="4" max="4" width="165.453125" customWidth="1"/>
  </cols>
  <sheetData>
    <row r="1" spans="1:4" ht="21.5" thickBot="1" x14ac:dyDescent="0.55000000000000004">
      <c r="A1" s="21" t="str">
        <f>"Office 365 Hybrid Mailbox Migration Management " &amp; "v"&amp;'Version Changes'!C21</f>
        <v>Office 365 Hybrid Mailbox Migration Management v1,2</v>
      </c>
      <c r="B1" s="3"/>
      <c r="C1" s="3"/>
      <c r="D1" s="3"/>
    </row>
    <row r="2" spans="1:4" x14ac:dyDescent="0.35">
      <c r="A2" s="22" t="s">
        <v>174</v>
      </c>
      <c r="B2" s="23"/>
      <c r="C2" s="23"/>
      <c r="D2" s="24"/>
    </row>
    <row r="3" spans="1:4" ht="36.65" customHeight="1" x14ac:dyDescent="0.35">
      <c r="A3" s="41" t="s">
        <v>898</v>
      </c>
      <c r="B3" s="42"/>
      <c r="C3" s="42"/>
      <c r="D3" s="43"/>
    </row>
    <row r="4" spans="1:4" ht="50.5" customHeight="1" x14ac:dyDescent="0.35">
      <c r="A4" s="47" t="s">
        <v>187</v>
      </c>
      <c r="B4" s="48"/>
      <c r="C4" s="48"/>
      <c r="D4" s="49"/>
    </row>
    <row r="5" spans="1:4" x14ac:dyDescent="0.35">
      <c r="A5" s="44" t="s">
        <v>227</v>
      </c>
      <c r="B5" s="45"/>
      <c r="C5" s="45"/>
      <c r="D5" s="46"/>
    </row>
    <row r="6" spans="1:4" ht="96" customHeight="1" x14ac:dyDescent="0.35">
      <c r="A6" s="44"/>
      <c r="B6" s="45"/>
      <c r="C6" s="45"/>
      <c r="D6" s="46"/>
    </row>
    <row r="7" spans="1:4" x14ac:dyDescent="0.35">
      <c r="A7" s="25"/>
      <c r="B7" s="3"/>
      <c r="C7" s="3"/>
      <c r="D7" s="26"/>
    </row>
    <row r="8" spans="1:4" x14ac:dyDescent="0.35">
      <c r="A8" s="32" t="s">
        <v>182</v>
      </c>
      <c r="B8" s="3"/>
      <c r="C8" s="3"/>
      <c r="D8" s="26"/>
    </row>
    <row r="9" spans="1:4" ht="15" customHeight="1" x14ac:dyDescent="0.35">
      <c r="A9" s="32" t="s">
        <v>175</v>
      </c>
      <c r="B9" s="3"/>
      <c r="C9" s="3"/>
      <c r="D9" s="26"/>
    </row>
    <row r="10" spans="1:4" ht="15" customHeight="1" x14ac:dyDescent="0.35">
      <c r="A10" s="32" t="s">
        <v>190</v>
      </c>
      <c r="B10" s="3"/>
      <c r="C10" s="3"/>
      <c r="D10" s="26"/>
    </row>
    <row r="11" spans="1:4" ht="15" customHeight="1" x14ac:dyDescent="0.35">
      <c r="A11" s="32" t="s">
        <v>191</v>
      </c>
      <c r="B11" s="3"/>
      <c r="C11" s="3"/>
      <c r="D11" s="26"/>
    </row>
    <row r="12" spans="1:4" ht="15" thickBot="1" x14ac:dyDescent="0.4">
      <c r="A12" s="27"/>
      <c r="B12" s="28"/>
      <c r="C12" s="28"/>
      <c r="D12" s="29"/>
    </row>
  </sheetData>
  <mergeCells count="3">
    <mergeCell ref="A3:D3"/>
    <mergeCell ref="A5:D6"/>
    <mergeCell ref="A4:D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Import_CSV2">
                <anchor moveWithCells="1" sizeWithCells="1">
                  <from>
                    <xdr:col>3</xdr:col>
                    <xdr:colOff>2438400</xdr:colOff>
                    <xdr:row>5</xdr:row>
                    <xdr:rowOff>933450</xdr:rowOff>
                  </from>
                  <to>
                    <xdr:col>3</xdr:col>
                    <xdr:colOff>3790950</xdr:colOff>
                    <xdr:row>7</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111"/>
  <sheetViews>
    <sheetView workbookViewId="0">
      <selection activeCell="B19" sqref="B19"/>
    </sheetView>
  </sheetViews>
  <sheetFormatPr baseColWidth="10" defaultColWidth="8.7265625" defaultRowHeight="14.5" x14ac:dyDescent="0.35"/>
  <cols>
    <col min="1" max="1" width="14.7265625" style="30" bestFit="1" customWidth="1"/>
    <col min="2" max="2" width="23.7265625" customWidth="1"/>
    <col min="3" max="3" width="32.26953125" customWidth="1"/>
    <col min="4" max="4" width="14.453125" bestFit="1" customWidth="1"/>
    <col min="5" max="5" width="35.453125" customWidth="1"/>
    <col min="6" max="6" width="17.453125" customWidth="1"/>
    <col min="7" max="7" width="17.81640625" bestFit="1" customWidth="1"/>
    <col min="8" max="8" width="21" bestFit="1" customWidth="1"/>
  </cols>
  <sheetData>
    <row r="1" spans="1:8" x14ac:dyDescent="0.35">
      <c r="A1" s="31" t="s">
        <v>3</v>
      </c>
      <c r="B1" s="39" t="s">
        <v>0</v>
      </c>
      <c r="C1" s="39" t="s">
        <v>24</v>
      </c>
      <c r="D1" s="39" t="s">
        <v>199</v>
      </c>
      <c r="E1" s="39" t="s">
        <v>231</v>
      </c>
      <c r="F1" s="39" t="s">
        <v>1</v>
      </c>
      <c r="G1" s="39" t="s">
        <v>2</v>
      </c>
      <c r="H1" s="39" t="s">
        <v>232</v>
      </c>
    </row>
    <row r="2" spans="1:8" x14ac:dyDescent="0.35">
      <c r="B2" s="38"/>
      <c r="C2" s="38"/>
      <c r="D2" s="38"/>
      <c r="E2" s="38"/>
      <c r="F2" s="38"/>
      <c r="G2" s="38"/>
      <c r="H2" s="38"/>
    </row>
    <row r="3" spans="1:8" x14ac:dyDescent="0.35">
      <c r="B3" s="38"/>
      <c r="C3" s="38"/>
      <c r="D3" s="38"/>
      <c r="E3" s="38"/>
      <c r="F3" s="38"/>
      <c r="G3" s="38"/>
      <c r="H3" s="38"/>
    </row>
    <row r="4" spans="1:8" x14ac:dyDescent="0.35">
      <c r="B4" s="38"/>
      <c r="C4" s="38"/>
      <c r="D4" s="38"/>
      <c r="E4" s="38"/>
      <c r="F4" s="38"/>
      <c r="G4" s="38"/>
      <c r="H4" s="38"/>
    </row>
    <row r="5" spans="1:8" x14ac:dyDescent="0.35">
      <c r="B5" s="38"/>
      <c r="C5" s="38"/>
      <c r="D5" s="38"/>
      <c r="E5" s="38"/>
      <c r="F5" s="38"/>
      <c r="G5" s="38"/>
      <c r="H5" s="38"/>
    </row>
    <row r="6" spans="1:8" x14ac:dyDescent="0.35">
      <c r="B6" s="38"/>
      <c r="C6" s="38"/>
      <c r="D6" s="38"/>
      <c r="E6" s="38"/>
      <c r="F6" s="38"/>
      <c r="G6" s="38"/>
      <c r="H6" s="38"/>
    </row>
    <row r="7" spans="1:8" x14ac:dyDescent="0.35">
      <c r="B7" s="38"/>
      <c r="C7" s="38"/>
      <c r="D7" s="38"/>
      <c r="E7" s="38"/>
      <c r="F7" s="38"/>
      <c r="G7" s="38"/>
      <c r="H7" s="38"/>
    </row>
    <row r="8" spans="1:8" x14ac:dyDescent="0.35">
      <c r="B8" s="38"/>
      <c r="C8" s="38"/>
      <c r="D8" s="38"/>
      <c r="E8" s="38"/>
      <c r="F8" s="38"/>
      <c r="G8" s="38"/>
      <c r="H8" s="38"/>
    </row>
    <row r="9" spans="1:8" x14ac:dyDescent="0.35">
      <c r="B9" s="38"/>
      <c r="C9" s="38"/>
      <c r="D9" s="38"/>
      <c r="E9" s="38"/>
      <c r="F9" s="38"/>
      <c r="G9" s="38"/>
      <c r="H9" s="38"/>
    </row>
    <row r="10" spans="1:8" x14ac:dyDescent="0.35">
      <c r="B10" s="38"/>
      <c r="C10" s="38"/>
      <c r="D10" s="38"/>
      <c r="E10" s="38"/>
      <c r="F10" s="38"/>
      <c r="G10" s="38"/>
      <c r="H10" s="38"/>
    </row>
    <row r="11" spans="1:8" x14ac:dyDescent="0.35">
      <c r="B11" s="38"/>
      <c r="C11" s="38"/>
      <c r="D11" s="38"/>
      <c r="E11" s="38"/>
      <c r="F11" s="38"/>
      <c r="G11" s="38"/>
      <c r="H11" s="38"/>
    </row>
    <row r="12" spans="1:8" x14ac:dyDescent="0.35">
      <c r="B12" s="38"/>
      <c r="C12" s="38"/>
      <c r="D12" s="38"/>
      <c r="E12" s="38"/>
      <c r="F12" s="38"/>
      <c r="G12" s="38"/>
      <c r="H12" s="38"/>
    </row>
    <row r="13" spans="1:8" x14ac:dyDescent="0.35">
      <c r="B13" s="38"/>
      <c r="C13" s="38"/>
      <c r="D13" s="38"/>
      <c r="E13" s="38"/>
      <c r="F13" s="38"/>
      <c r="G13" s="38"/>
      <c r="H13" s="38"/>
    </row>
    <row r="14" spans="1:8" x14ac:dyDescent="0.35">
      <c r="B14" s="38"/>
      <c r="C14" s="38"/>
      <c r="D14" s="38"/>
      <c r="E14" s="38"/>
      <c r="F14" s="38"/>
      <c r="G14" s="38"/>
      <c r="H14" s="38"/>
    </row>
    <row r="15" spans="1:8" x14ac:dyDescent="0.35">
      <c r="B15" s="38"/>
      <c r="C15" s="38"/>
      <c r="D15" s="38"/>
      <c r="E15" s="38"/>
      <c r="F15" s="38"/>
      <c r="G15" s="38"/>
      <c r="H15" s="38"/>
    </row>
    <row r="16" spans="1:8" x14ac:dyDescent="0.35">
      <c r="B16" s="38"/>
      <c r="C16" s="38"/>
      <c r="D16" s="38"/>
      <c r="E16" s="38"/>
      <c r="F16" s="38"/>
      <c r="G16" s="38"/>
      <c r="H16" s="38"/>
    </row>
    <row r="17" spans="2:8" x14ac:dyDescent="0.35">
      <c r="B17" s="38"/>
      <c r="C17" s="38"/>
      <c r="D17" s="38"/>
      <c r="E17" s="38"/>
      <c r="F17" s="38"/>
      <c r="G17" s="38"/>
      <c r="H17" s="38"/>
    </row>
    <row r="18" spans="2:8" x14ac:dyDescent="0.35">
      <c r="B18" s="38"/>
      <c r="C18" s="38"/>
      <c r="D18" s="38"/>
      <c r="E18" s="38"/>
      <c r="F18" s="38"/>
      <c r="G18" s="38"/>
      <c r="H18" s="38"/>
    </row>
    <row r="19" spans="2:8" x14ac:dyDescent="0.35">
      <c r="B19" s="38"/>
      <c r="C19" s="38"/>
      <c r="D19" s="38"/>
      <c r="E19" s="38"/>
      <c r="F19" s="38"/>
      <c r="G19" s="38"/>
      <c r="H19" s="38"/>
    </row>
    <row r="20" spans="2:8" x14ac:dyDescent="0.35">
      <c r="B20" s="38"/>
      <c r="C20" s="38"/>
      <c r="D20" s="38"/>
      <c r="E20" s="38"/>
      <c r="F20" s="38"/>
      <c r="G20" s="38"/>
      <c r="H20" s="38"/>
    </row>
    <row r="21" spans="2:8" x14ac:dyDescent="0.35">
      <c r="B21" s="38"/>
      <c r="C21" s="38"/>
      <c r="D21" s="38"/>
      <c r="E21" s="38"/>
      <c r="F21" s="38"/>
      <c r="G21" s="38"/>
      <c r="H21" s="38"/>
    </row>
    <row r="22" spans="2:8" x14ac:dyDescent="0.35">
      <c r="B22" s="38"/>
      <c r="C22" s="38"/>
      <c r="D22" s="38"/>
      <c r="E22" s="38"/>
      <c r="F22" s="38"/>
      <c r="G22" s="38"/>
      <c r="H22" s="38"/>
    </row>
    <row r="23" spans="2:8" x14ac:dyDescent="0.35">
      <c r="B23" s="38"/>
      <c r="C23" s="38"/>
      <c r="D23" s="38"/>
      <c r="E23" s="38"/>
      <c r="F23" s="38"/>
      <c r="G23" s="38"/>
      <c r="H23" s="38"/>
    </row>
    <row r="24" spans="2:8" x14ac:dyDescent="0.35">
      <c r="B24" s="38"/>
      <c r="C24" s="38"/>
      <c r="D24" s="38"/>
      <c r="E24" s="38"/>
      <c r="F24" s="38"/>
      <c r="G24" s="38"/>
      <c r="H24" s="38"/>
    </row>
    <row r="25" spans="2:8" x14ac:dyDescent="0.35">
      <c r="B25" s="38"/>
      <c r="C25" s="38"/>
      <c r="D25" s="38"/>
      <c r="E25" s="38"/>
      <c r="F25" s="38"/>
      <c r="G25" s="38"/>
      <c r="H25" s="38"/>
    </row>
    <row r="26" spans="2:8" x14ac:dyDescent="0.35">
      <c r="B26" s="38"/>
      <c r="C26" s="38"/>
      <c r="D26" s="38"/>
      <c r="E26" s="38"/>
      <c r="F26" s="38"/>
      <c r="G26" s="38"/>
      <c r="H26" s="38"/>
    </row>
    <row r="27" spans="2:8" x14ac:dyDescent="0.35">
      <c r="B27" s="38"/>
      <c r="C27" s="38"/>
      <c r="D27" s="38"/>
      <c r="E27" s="38"/>
      <c r="F27" s="38"/>
      <c r="G27" s="38"/>
      <c r="H27" s="38"/>
    </row>
    <row r="28" spans="2:8" x14ac:dyDescent="0.35">
      <c r="B28" s="38"/>
      <c r="C28" s="38"/>
      <c r="D28" s="38"/>
      <c r="E28" s="38"/>
      <c r="F28" s="38"/>
      <c r="G28" s="38"/>
      <c r="H28" s="38"/>
    </row>
    <row r="29" spans="2:8" x14ac:dyDescent="0.35">
      <c r="B29" s="38"/>
      <c r="C29" s="38"/>
      <c r="D29" s="38"/>
      <c r="E29" s="38"/>
      <c r="F29" s="38"/>
      <c r="G29" s="38"/>
      <c r="H29" s="38"/>
    </row>
    <row r="30" spans="2:8" x14ac:dyDescent="0.35">
      <c r="B30" s="38"/>
      <c r="C30" s="38"/>
      <c r="D30" s="38"/>
      <c r="E30" s="38"/>
      <c r="F30" s="38"/>
      <c r="G30" s="38"/>
      <c r="H30" s="38"/>
    </row>
    <row r="31" spans="2:8" x14ac:dyDescent="0.35">
      <c r="B31" s="38"/>
      <c r="C31" s="38"/>
      <c r="D31" s="38"/>
      <c r="E31" s="38"/>
      <c r="F31" s="38"/>
      <c r="G31" s="38"/>
      <c r="H31" s="38"/>
    </row>
    <row r="32" spans="2:8" x14ac:dyDescent="0.35">
      <c r="B32" s="38"/>
      <c r="C32" s="38"/>
      <c r="D32" s="38"/>
      <c r="E32" s="38"/>
      <c r="F32" s="38"/>
      <c r="G32" s="38"/>
      <c r="H32" s="38"/>
    </row>
    <row r="33" spans="2:8" x14ac:dyDescent="0.35">
      <c r="B33" s="38"/>
      <c r="C33" s="38"/>
      <c r="D33" s="38"/>
      <c r="E33" s="38"/>
      <c r="F33" s="38"/>
      <c r="G33" s="38"/>
      <c r="H33" s="38"/>
    </row>
    <row r="34" spans="2:8" x14ac:dyDescent="0.35">
      <c r="B34" s="38"/>
      <c r="C34" s="38"/>
      <c r="D34" s="38"/>
      <c r="E34" s="38"/>
      <c r="F34" s="38"/>
      <c r="G34" s="38"/>
      <c r="H34" s="38"/>
    </row>
    <row r="35" spans="2:8" x14ac:dyDescent="0.35">
      <c r="B35" s="38"/>
      <c r="C35" s="38"/>
      <c r="D35" s="38"/>
      <c r="E35" s="38"/>
      <c r="F35" s="38"/>
      <c r="G35" s="38"/>
      <c r="H35" s="38"/>
    </row>
    <row r="36" spans="2:8" x14ac:dyDescent="0.35">
      <c r="B36" s="38"/>
      <c r="C36" s="38"/>
      <c r="D36" s="38"/>
      <c r="E36" s="38"/>
      <c r="F36" s="38"/>
      <c r="G36" s="38"/>
      <c r="H36" s="38"/>
    </row>
    <row r="37" spans="2:8" x14ac:dyDescent="0.35">
      <c r="B37" s="38"/>
      <c r="C37" s="38"/>
      <c r="D37" s="38"/>
      <c r="E37" s="38"/>
      <c r="F37" s="38"/>
      <c r="G37" s="38"/>
      <c r="H37" s="38"/>
    </row>
    <row r="38" spans="2:8" x14ac:dyDescent="0.35">
      <c r="B38" s="38"/>
      <c r="C38" s="38"/>
      <c r="D38" s="38"/>
      <c r="E38" s="38"/>
      <c r="F38" s="38"/>
      <c r="G38" s="38"/>
      <c r="H38" s="38"/>
    </row>
    <row r="39" spans="2:8" x14ac:dyDescent="0.35">
      <c r="B39" s="38"/>
      <c r="C39" s="38"/>
      <c r="D39" s="38"/>
      <c r="E39" s="38"/>
      <c r="F39" s="38"/>
      <c r="G39" s="38"/>
      <c r="H39" s="38"/>
    </row>
    <row r="40" spans="2:8" x14ac:dyDescent="0.35">
      <c r="B40" s="38"/>
      <c r="C40" s="38"/>
      <c r="D40" s="38"/>
      <c r="E40" s="38"/>
      <c r="F40" s="38"/>
      <c r="G40" s="38"/>
      <c r="H40" s="38"/>
    </row>
    <row r="41" spans="2:8" x14ac:dyDescent="0.35">
      <c r="B41" s="38"/>
      <c r="C41" s="38"/>
      <c r="D41" s="38"/>
      <c r="E41" s="38"/>
      <c r="F41" s="38"/>
      <c r="G41" s="38"/>
      <c r="H41" s="38"/>
    </row>
    <row r="42" spans="2:8" x14ac:dyDescent="0.35">
      <c r="B42" s="38"/>
      <c r="C42" s="38"/>
      <c r="D42" s="38"/>
      <c r="E42" s="38"/>
      <c r="F42" s="38"/>
      <c r="G42" s="38"/>
      <c r="H42" s="38"/>
    </row>
    <row r="43" spans="2:8" x14ac:dyDescent="0.35">
      <c r="B43" s="38"/>
      <c r="C43" s="38"/>
      <c r="D43" s="38"/>
      <c r="E43" s="38"/>
      <c r="F43" s="38"/>
      <c r="G43" s="38"/>
      <c r="H43" s="38"/>
    </row>
    <row r="44" spans="2:8" x14ac:dyDescent="0.35">
      <c r="B44" s="38"/>
      <c r="C44" s="38"/>
      <c r="D44" s="38"/>
      <c r="E44" s="38"/>
      <c r="F44" s="38"/>
      <c r="G44" s="38"/>
      <c r="H44" s="38"/>
    </row>
    <row r="45" spans="2:8" x14ac:dyDescent="0.35">
      <c r="B45" s="38"/>
      <c r="C45" s="38"/>
      <c r="D45" s="38"/>
      <c r="E45" s="38"/>
      <c r="F45" s="38"/>
      <c r="G45" s="38"/>
      <c r="H45" s="38"/>
    </row>
    <row r="46" spans="2:8" x14ac:dyDescent="0.35">
      <c r="B46" s="38"/>
      <c r="C46" s="38"/>
      <c r="D46" s="38"/>
      <c r="E46" s="38"/>
      <c r="F46" s="38"/>
      <c r="G46" s="38"/>
      <c r="H46" s="38"/>
    </row>
    <row r="47" spans="2:8" x14ac:dyDescent="0.35">
      <c r="B47" s="38"/>
      <c r="C47" s="38"/>
      <c r="D47" s="38"/>
      <c r="E47" s="38"/>
      <c r="F47" s="38"/>
      <c r="G47" s="38"/>
      <c r="H47" s="38"/>
    </row>
    <row r="48" spans="2:8" x14ac:dyDescent="0.35">
      <c r="B48" s="38"/>
      <c r="C48" s="38"/>
      <c r="D48" s="38"/>
      <c r="E48" s="38"/>
      <c r="F48" s="38"/>
      <c r="G48" s="38"/>
      <c r="H48" s="38"/>
    </row>
    <row r="49" spans="2:8" x14ac:dyDescent="0.35">
      <c r="B49" s="38"/>
      <c r="C49" s="38"/>
      <c r="D49" s="38"/>
      <c r="E49" s="38"/>
      <c r="F49" s="38"/>
      <c r="G49" s="38"/>
      <c r="H49" s="38"/>
    </row>
    <row r="50" spans="2:8" x14ac:dyDescent="0.35">
      <c r="B50" s="38"/>
      <c r="C50" s="38"/>
      <c r="D50" s="38"/>
      <c r="E50" s="38"/>
      <c r="F50" s="38"/>
      <c r="G50" s="38"/>
      <c r="H50" s="38"/>
    </row>
    <row r="51" spans="2:8" x14ac:dyDescent="0.35">
      <c r="B51" s="38"/>
      <c r="C51" s="38"/>
      <c r="D51" s="38"/>
      <c r="E51" s="38"/>
      <c r="F51" s="38"/>
      <c r="G51" s="38"/>
      <c r="H51" s="38"/>
    </row>
    <row r="52" spans="2:8" x14ac:dyDescent="0.35">
      <c r="B52" s="38"/>
      <c r="C52" s="38"/>
      <c r="D52" s="38"/>
      <c r="E52" s="38"/>
      <c r="F52" s="38"/>
      <c r="G52" s="38"/>
      <c r="H52" s="38"/>
    </row>
    <row r="53" spans="2:8" x14ac:dyDescent="0.35">
      <c r="B53" s="38"/>
      <c r="C53" s="38"/>
      <c r="D53" s="38"/>
      <c r="E53" s="38"/>
      <c r="F53" s="38"/>
      <c r="G53" s="38"/>
      <c r="H53" s="38"/>
    </row>
    <row r="54" spans="2:8" x14ac:dyDescent="0.35">
      <c r="B54" s="38"/>
      <c r="C54" s="38"/>
      <c r="D54" s="38"/>
      <c r="E54" s="38"/>
      <c r="F54" s="38"/>
      <c r="G54" s="38"/>
      <c r="H54" s="38"/>
    </row>
    <row r="55" spans="2:8" x14ac:dyDescent="0.35">
      <c r="B55" s="38"/>
      <c r="C55" s="38"/>
      <c r="D55" s="38"/>
      <c r="E55" s="38"/>
      <c r="F55" s="38"/>
      <c r="G55" s="38"/>
      <c r="H55" s="38"/>
    </row>
    <row r="56" spans="2:8" x14ac:dyDescent="0.35">
      <c r="B56" s="38"/>
      <c r="C56" s="38"/>
      <c r="D56" s="38"/>
      <c r="E56" s="38"/>
      <c r="F56" s="38"/>
      <c r="G56" s="38"/>
      <c r="H56" s="38"/>
    </row>
    <row r="57" spans="2:8" x14ac:dyDescent="0.35">
      <c r="B57" s="38"/>
      <c r="C57" s="38"/>
      <c r="D57" s="38"/>
      <c r="E57" s="38"/>
      <c r="F57" s="38"/>
      <c r="G57" s="38"/>
      <c r="H57" s="38"/>
    </row>
    <row r="58" spans="2:8" x14ac:dyDescent="0.35">
      <c r="B58" s="38"/>
      <c r="C58" s="38"/>
      <c r="D58" s="38"/>
      <c r="E58" s="38"/>
      <c r="F58" s="38"/>
      <c r="G58" s="38"/>
      <c r="H58" s="38"/>
    </row>
    <row r="59" spans="2:8" x14ac:dyDescent="0.35">
      <c r="B59" s="38"/>
      <c r="C59" s="38"/>
      <c r="D59" s="38"/>
      <c r="E59" s="38"/>
      <c r="F59" s="38"/>
      <c r="G59" s="38"/>
      <c r="H59" s="38"/>
    </row>
    <row r="60" spans="2:8" x14ac:dyDescent="0.35">
      <c r="B60" s="38"/>
      <c r="C60" s="38"/>
      <c r="D60" s="38"/>
      <c r="E60" s="38"/>
      <c r="F60" s="38"/>
      <c r="G60" s="38"/>
      <c r="H60" s="38"/>
    </row>
    <row r="61" spans="2:8" x14ac:dyDescent="0.35">
      <c r="B61" s="38"/>
      <c r="C61" s="38"/>
      <c r="D61" s="38"/>
      <c r="E61" s="38"/>
      <c r="F61" s="38"/>
      <c r="G61" s="38"/>
      <c r="H61" s="38"/>
    </row>
    <row r="62" spans="2:8" x14ac:dyDescent="0.35">
      <c r="B62" s="38"/>
      <c r="C62" s="38"/>
      <c r="D62" s="38"/>
      <c r="E62" s="38"/>
      <c r="F62" s="38"/>
      <c r="G62" s="38"/>
      <c r="H62" s="38"/>
    </row>
    <row r="63" spans="2:8" x14ac:dyDescent="0.35">
      <c r="B63" s="38"/>
      <c r="C63" s="38"/>
      <c r="D63" s="38"/>
      <c r="E63" s="38"/>
      <c r="F63" s="38"/>
      <c r="G63" s="38"/>
      <c r="H63" s="38"/>
    </row>
    <row r="64" spans="2:8" x14ac:dyDescent="0.35">
      <c r="B64" s="38"/>
      <c r="C64" s="38"/>
      <c r="D64" s="38"/>
      <c r="E64" s="38"/>
      <c r="F64" s="38"/>
      <c r="G64" s="38"/>
      <c r="H64" s="38"/>
    </row>
    <row r="65" spans="2:8" x14ac:dyDescent="0.35">
      <c r="B65" s="38"/>
      <c r="C65" s="38"/>
      <c r="D65" s="38"/>
      <c r="E65" s="38"/>
      <c r="F65" s="38"/>
      <c r="G65" s="38"/>
      <c r="H65" s="38"/>
    </row>
    <row r="66" spans="2:8" x14ac:dyDescent="0.35">
      <c r="B66" s="38"/>
      <c r="C66" s="38"/>
      <c r="D66" s="38"/>
      <c r="E66" s="38"/>
      <c r="F66" s="38"/>
      <c r="G66" s="38"/>
      <c r="H66" s="38"/>
    </row>
    <row r="67" spans="2:8" x14ac:dyDescent="0.35">
      <c r="B67" s="38"/>
      <c r="C67" s="38"/>
      <c r="D67" s="38"/>
      <c r="E67" s="38"/>
      <c r="F67" s="38"/>
      <c r="G67" s="38"/>
      <c r="H67" s="38"/>
    </row>
    <row r="68" spans="2:8" x14ac:dyDescent="0.35">
      <c r="B68" s="38"/>
      <c r="C68" s="38"/>
      <c r="D68" s="38"/>
      <c r="E68" s="38"/>
      <c r="F68" s="38"/>
      <c r="G68" s="38"/>
      <c r="H68" s="38"/>
    </row>
    <row r="69" spans="2:8" x14ac:dyDescent="0.35">
      <c r="B69" s="38"/>
      <c r="C69" s="38"/>
      <c r="D69" s="38"/>
      <c r="E69" s="38"/>
      <c r="F69" s="38"/>
      <c r="G69" s="38"/>
      <c r="H69" s="38"/>
    </row>
    <row r="70" spans="2:8" x14ac:dyDescent="0.35">
      <c r="B70" s="38"/>
      <c r="C70" s="38"/>
      <c r="D70" s="38"/>
      <c r="E70" s="38"/>
      <c r="F70" s="38"/>
      <c r="G70" s="38"/>
      <c r="H70" s="38"/>
    </row>
    <row r="71" spans="2:8" x14ac:dyDescent="0.35">
      <c r="B71" s="38"/>
      <c r="C71" s="38"/>
      <c r="D71" s="38"/>
      <c r="E71" s="38"/>
      <c r="F71" s="38"/>
      <c r="G71" s="38"/>
      <c r="H71" s="38"/>
    </row>
    <row r="72" spans="2:8" x14ac:dyDescent="0.35">
      <c r="B72" s="38"/>
      <c r="C72" s="38"/>
      <c r="D72" s="38"/>
      <c r="E72" s="38"/>
      <c r="F72" s="38"/>
      <c r="G72" s="38"/>
      <c r="H72" s="38"/>
    </row>
    <row r="73" spans="2:8" x14ac:dyDescent="0.35">
      <c r="B73" s="38"/>
      <c r="C73" s="38"/>
      <c r="D73" s="38"/>
      <c r="E73" s="38"/>
      <c r="F73" s="38"/>
      <c r="G73" s="38"/>
      <c r="H73" s="38"/>
    </row>
    <row r="74" spans="2:8" x14ac:dyDescent="0.35">
      <c r="B74" s="38"/>
      <c r="C74" s="38"/>
      <c r="D74" s="38"/>
      <c r="E74" s="38"/>
      <c r="F74" s="38"/>
      <c r="G74" s="38"/>
      <c r="H74" s="38"/>
    </row>
    <row r="75" spans="2:8" x14ac:dyDescent="0.35">
      <c r="B75" s="38"/>
      <c r="C75" s="38"/>
      <c r="D75" s="38"/>
      <c r="E75" s="38"/>
      <c r="F75" s="38"/>
      <c r="G75" s="38"/>
      <c r="H75" s="38"/>
    </row>
    <row r="76" spans="2:8" x14ac:dyDescent="0.35">
      <c r="B76" s="38"/>
      <c r="C76" s="38"/>
      <c r="D76" s="38"/>
      <c r="E76" s="38"/>
      <c r="F76" s="38"/>
      <c r="G76" s="38"/>
      <c r="H76" s="38"/>
    </row>
    <row r="77" spans="2:8" x14ac:dyDescent="0.35">
      <c r="B77" s="38"/>
      <c r="C77" s="38"/>
      <c r="D77" s="38"/>
      <c r="E77" s="38"/>
      <c r="F77" s="38"/>
      <c r="G77" s="38"/>
      <c r="H77" s="38"/>
    </row>
    <row r="78" spans="2:8" x14ac:dyDescent="0.35">
      <c r="B78" s="38"/>
      <c r="C78" s="38"/>
      <c r="D78" s="38"/>
      <c r="E78" s="38"/>
      <c r="F78" s="38"/>
      <c r="G78" s="38"/>
      <c r="H78" s="38"/>
    </row>
    <row r="79" spans="2:8" x14ac:dyDescent="0.35">
      <c r="B79" s="38"/>
      <c r="C79" s="38"/>
      <c r="D79" s="38"/>
      <c r="E79" s="38"/>
      <c r="F79" s="38"/>
      <c r="G79" s="38"/>
      <c r="H79" s="38"/>
    </row>
    <row r="80" spans="2:8" x14ac:dyDescent="0.35">
      <c r="B80" s="38"/>
      <c r="C80" s="38"/>
      <c r="D80" s="38"/>
      <c r="E80" s="38"/>
      <c r="F80" s="38"/>
      <c r="G80" s="38"/>
      <c r="H80" s="38"/>
    </row>
    <row r="81" spans="2:8" x14ac:dyDescent="0.35">
      <c r="B81" s="38"/>
      <c r="C81" s="38"/>
      <c r="D81" s="38"/>
      <c r="E81" s="38"/>
      <c r="F81" s="38"/>
      <c r="G81" s="38"/>
      <c r="H81" s="38"/>
    </row>
    <row r="82" spans="2:8" x14ac:dyDescent="0.35">
      <c r="B82" s="38"/>
      <c r="C82" s="38"/>
      <c r="D82" s="38"/>
      <c r="E82" s="38"/>
      <c r="F82" s="38"/>
      <c r="G82" s="38"/>
      <c r="H82" s="38"/>
    </row>
    <row r="83" spans="2:8" x14ac:dyDescent="0.35">
      <c r="B83" s="38"/>
      <c r="C83" s="38"/>
      <c r="D83" s="38"/>
      <c r="E83" s="38"/>
      <c r="F83" s="38"/>
      <c r="G83" s="38"/>
      <c r="H83" s="38"/>
    </row>
    <row r="84" spans="2:8" x14ac:dyDescent="0.35">
      <c r="B84" s="38"/>
      <c r="C84" s="38"/>
      <c r="D84" s="38"/>
      <c r="E84" s="38"/>
      <c r="F84" s="38"/>
      <c r="G84" s="38"/>
      <c r="H84" s="38"/>
    </row>
    <row r="85" spans="2:8" x14ac:dyDescent="0.35">
      <c r="B85" s="38"/>
      <c r="C85" s="38"/>
      <c r="D85" s="38"/>
      <c r="E85" s="38"/>
      <c r="F85" s="38"/>
      <c r="G85" s="38"/>
      <c r="H85" s="38"/>
    </row>
    <row r="86" spans="2:8" x14ac:dyDescent="0.35">
      <c r="B86" s="38"/>
      <c r="C86" s="38"/>
      <c r="D86" s="38"/>
      <c r="E86" s="38"/>
      <c r="F86" s="38"/>
      <c r="G86" s="38"/>
      <c r="H86" s="38"/>
    </row>
    <row r="87" spans="2:8" x14ac:dyDescent="0.35">
      <c r="B87" s="38"/>
      <c r="C87" s="38"/>
      <c r="D87" s="38"/>
      <c r="E87" s="38"/>
      <c r="F87" s="38"/>
      <c r="G87" s="38"/>
      <c r="H87" s="38"/>
    </row>
    <row r="88" spans="2:8" x14ac:dyDescent="0.35">
      <c r="B88" s="38"/>
      <c r="C88" s="38"/>
      <c r="D88" s="38"/>
      <c r="E88" s="38"/>
      <c r="F88" s="38"/>
      <c r="G88" s="38"/>
      <c r="H88" s="38"/>
    </row>
    <row r="89" spans="2:8" x14ac:dyDescent="0.35">
      <c r="B89" s="38"/>
      <c r="C89" s="38"/>
      <c r="D89" s="38"/>
      <c r="E89" s="38"/>
      <c r="F89" s="38"/>
      <c r="G89" s="38"/>
      <c r="H89" s="38"/>
    </row>
    <row r="90" spans="2:8" x14ac:dyDescent="0.35">
      <c r="B90" s="38"/>
      <c r="C90" s="38"/>
      <c r="D90" s="38"/>
      <c r="E90" s="38"/>
      <c r="F90" s="38"/>
      <c r="G90" s="38"/>
      <c r="H90" s="38"/>
    </row>
    <row r="91" spans="2:8" x14ac:dyDescent="0.35">
      <c r="B91" s="38"/>
      <c r="C91" s="38"/>
      <c r="D91" s="38"/>
      <c r="E91" s="38"/>
      <c r="F91" s="38"/>
      <c r="G91" s="38"/>
      <c r="H91" s="38"/>
    </row>
    <row r="92" spans="2:8" x14ac:dyDescent="0.35">
      <c r="B92" s="38"/>
      <c r="C92" s="38"/>
      <c r="D92" s="38"/>
      <c r="E92" s="38"/>
      <c r="F92" s="38"/>
      <c r="G92" s="38"/>
      <c r="H92" s="38"/>
    </row>
    <row r="93" spans="2:8" x14ac:dyDescent="0.35">
      <c r="B93" s="38"/>
      <c r="C93" s="38"/>
      <c r="D93" s="38"/>
      <c r="E93" s="38"/>
      <c r="F93" s="38"/>
      <c r="G93" s="38"/>
      <c r="H93" s="38"/>
    </row>
    <row r="94" spans="2:8" x14ac:dyDescent="0.35">
      <c r="B94" s="38"/>
      <c r="C94" s="38"/>
      <c r="D94" s="38"/>
      <c r="E94" s="38"/>
      <c r="F94" s="38"/>
      <c r="G94" s="38"/>
      <c r="H94" s="38"/>
    </row>
    <row r="95" spans="2:8" x14ac:dyDescent="0.35">
      <c r="B95" s="38"/>
      <c r="C95" s="38"/>
      <c r="D95" s="38"/>
      <c r="E95" s="38"/>
      <c r="F95" s="38"/>
      <c r="G95" s="38"/>
      <c r="H95" s="38"/>
    </row>
    <row r="96" spans="2:8" x14ac:dyDescent="0.35">
      <c r="B96" s="38"/>
      <c r="C96" s="38"/>
      <c r="D96" s="38"/>
      <c r="E96" s="38"/>
      <c r="F96" s="38"/>
      <c r="G96" s="38"/>
      <c r="H96" s="38"/>
    </row>
    <row r="97" spans="2:8" x14ac:dyDescent="0.35">
      <c r="B97" s="38"/>
      <c r="C97" s="38"/>
      <c r="D97" s="38"/>
      <c r="E97" s="38"/>
      <c r="F97" s="38"/>
      <c r="G97" s="38"/>
      <c r="H97" s="38"/>
    </row>
    <row r="98" spans="2:8" x14ac:dyDescent="0.35">
      <c r="B98" s="38"/>
      <c r="C98" s="38"/>
      <c r="D98" s="38"/>
      <c r="E98" s="38"/>
      <c r="F98" s="38"/>
      <c r="G98" s="38"/>
      <c r="H98" s="38"/>
    </row>
    <row r="99" spans="2:8" x14ac:dyDescent="0.35">
      <c r="B99" s="38"/>
      <c r="C99" s="38"/>
      <c r="D99" s="38"/>
      <c r="E99" s="38"/>
      <c r="F99" s="38"/>
      <c r="G99" s="38"/>
      <c r="H99" s="38"/>
    </row>
    <row r="100" spans="2:8" x14ac:dyDescent="0.35">
      <c r="B100" s="38"/>
      <c r="C100" s="38"/>
      <c r="D100" s="38"/>
      <c r="E100" s="38"/>
      <c r="F100" s="38"/>
      <c r="G100" s="38"/>
      <c r="H100" s="38"/>
    </row>
    <row r="101" spans="2:8" x14ac:dyDescent="0.35">
      <c r="B101" s="38"/>
      <c r="C101" s="38"/>
      <c r="D101" s="38"/>
      <c r="E101" s="38"/>
      <c r="F101" s="38"/>
      <c r="G101" s="38"/>
      <c r="H101" s="38"/>
    </row>
    <row r="102" spans="2:8" x14ac:dyDescent="0.35">
      <c r="B102" s="38"/>
      <c r="C102" s="38"/>
      <c r="D102" s="38"/>
      <c r="E102" s="38"/>
      <c r="F102" s="38"/>
      <c r="G102" s="38"/>
      <c r="H102" s="38"/>
    </row>
    <row r="103" spans="2:8" x14ac:dyDescent="0.35">
      <c r="B103" s="38"/>
      <c r="C103" s="38"/>
      <c r="D103" s="38"/>
      <c r="E103" s="38"/>
      <c r="F103" s="38"/>
      <c r="G103" s="38"/>
      <c r="H103" s="38"/>
    </row>
    <row r="104" spans="2:8" x14ac:dyDescent="0.35">
      <c r="B104" s="38"/>
      <c r="C104" s="38"/>
      <c r="D104" s="38"/>
      <c r="E104" s="38"/>
      <c r="F104" s="38"/>
      <c r="G104" s="38"/>
      <c r="H104" s="38"/>
    </row>
    <row r="105" spans="2:8" x14ac:dyDescent="0.35">
      <c r="B105" s="38"/>
      <c r="C105" s="38"/>
      <c r="D105" s="38"/>
      <c r="E105" s="38"/>
      <c r="F105" s="38"/>
      <c r="G105" s="38"/>
      <c r="H105" s="38"/>
    </row>
    <row r="106" spans="2:8" x14ac:dyDescent="0.35">
      <c r="B106" s="38"/>
      <c r="C106" s="38"/>
      <c r="D106" s="38"/>
      <c r="E106" s="38"/>
      <c r="F106" s="38"/>
      <c r="G106" s="38"/>
      <c r="H106" s="38"/>
    </row>
    <row r="107" spans="2:8" x14ac:dyDescent="0.35">
      <c r="B107" s="38"/>
      <c r="C107" s="38"/>
      <c r="D107" s="38"/>
      <c r="E107" s="38"/>
      <c r="F107" s="38"/>
      <c r="G107" s="38"/>
      <c r="H107" s="38"/>
    </row>
    <row r="108" spans="2:8" x14ac:dyDescent="0.35">
      <c r="B108" s="38"/>
      <c r="C108" s="38"/>
      <c r="D108" s="38"/>
      <c r="E108" s="38"/>
      <c r="F108" s="38"/>
      <c r="G108" s="38"/>
      <c r="H108" s="38"/>
    </row>
    <row r="109" spans="2:8" x14ac:dyDescent="0.35">
      <c r="B109" s="38"/>
      <c r="C109" s="38"/>
      <c r="D109" s="38"/>
      <c r="E109" s="38"/>
      <c r="F109" s="38"/>
      <c r="G109" s="38"/>
      <c r="H109" s="38"/>
    </row>
    <row r="110" spans="2:8" x14ac:dyDescent="0.35">
      <c r="B110" s="38"/>
      <c r="C110" s="38"/>
      <c r="D110" s="38"/>
      <c r="E110" s="38"/>
      <c r="F110" s="38"/>
      <c r="G110" s="38"/>
      <c r="H110" s="38"/>
    </row>
    <row r="111" spans="2:8" x14ac:dyDescent="0.35">
      <c r="B111" s="38"/>
      <c r="C111" s="38"/>
      <c r="D111" s="38"/>
      <c r="E111" s="38"/>
      <c r="F111" s="38"/>
      <c r="G111" s="38"/>
      <c r="H111" s="38"/>
    </row>
    <row r="112" spans="2:8" x14ac:dyDescent="0.35">
      <c r="B112" s="38"/>
      <c r="C112" s="38"/>
      <c r="D112" s="38"/>
      <c r="E112" s="38"/>
      <c r="F112" s="38"/>
      <c r="G112" s="38"/>
      <c r="H112" s="38"/>
    </row>
    <row r="113" spans="2:8" x14ac:dyDescent="0.35">
      <c r="B113" s="38"/>
      <c r="C113" s="38"/>
      <c r="D113" s="38"/>
      <c r="E113" s="38"/>
      <c r="F113" s="38"/>
      <c r="G113" s="38"/>
      <c r="H113" s="38"/>
    </row>
    <row r="114" spans="2:8" x14ac:dyDescent="0.35">
      <c r="B114" s="38"/>
      <c r="C114" s="38"/>
      <c r="D114" s="38"/>
      <c r="E114" s="38"/>
      <c r="F114" s="38"/>
      <c r="G114" s="38"/>
      <c r="H114" s="38"/>
    </row>
    <row r="115" spans="2:8" x14ac:dyDescent="0.35">
      <c r="B115" s="38"/>
      <c r="C115" s="38"/>
      <c r="D115" s="38"/>
      <c r="E115" s="38"/>
      <c r="F115" s="38"/>
      <c r="G115" s="38"/>
      <c r="H115" s="38"/>
    </row>
    <row r="116" spans="2:8" x14ac:dyDescent="0.35">
      <c r="B116" s="38"/>
      <c r="C116" s="38"/>
      <c r="D116" s="38"/>
      <c r="E116" s="38"/>
      <c r="F116" s="38"/>
      <c r="G116" s="38"/>
      <c r="H116" s="38"/>
    </row>
    <row r="117" spans="2:8" x14ac:dyDescent="0.35">
      <c r="B117" s="38"/>
      <c r="C117" s="38"/>
      <c r="D117" s="38"/>
      <c r="E117" s="38"/>
      <c r="F117" s="38"/>
      <c r="G117" s="38"/>
      <c r="H117" s="38"/>
    </row>
    <row r="118" spans="2:8" x14ac:dyDescent="0.35">
      <c r="B118" s="38"/>
      <c r="C118" s="38"/>
      <c r="D118" s="38"/>
      <c r="E118" s="38"/>
      <c r="F118" s="38"/>
      <c r="G118" s="38"/>
      <c r="H118" s="38"/>
    </row>
    <row r="119" spans="2:8" x14ac:dyDescent="0.35">
      <c r="B119" s="38"/>
      <c r="C119" s="38"/>
      <c r="D119" s="38"/>
      <c r="E119" s="38"/>
      <c r="F119" s="38"/>
      <c r="G119" s="38"/>
      <c r="H119" s="38"/>
    </row>
    <row r="120" spans="2:8" x14ac:dyDescent="0.35">
      <c r="B120" s="38"/>
      <c r="C120" s="38"/>
      <c r="D120" s="38"/>
      <c r="E120" s="38"/>
      <c r="F120" s="38"/>
      <c r="G120" s="38"/>
      <c r="H120" s="38"/>
    </row>
    <row r="121" spans="2:8" x14ac:dyDescent="0.35">
      <c r="B121" s="38"/>
      <c r="C121" s="38"/>
      <c r="D121" s="38"/>
      <c r="E121" s="38"/>
      <c r="F121" s="38"/>
      <c r="G121" s="38"/>
      <c r="H121" s="38"/>
    </row>
    <row r="122" spans="2:8" x14ac:dyDescent="0.35">
      <c r="B122" s="38"/>
      <c r="C122" s="38"/>
      <c r="D122" s="38"/>
      <c r="E122" s="38"/>
      <c r="F122" s="38"/>
      <c r="G122" s="38"/>
      <c r="H122" s="38"/>
    </row>
    <row r="123" spans="2:8" x14ac:dyDescent="0.35">
      <c r="B123" s="38"/>
      <c r="C123" s="38"/>
      <c r="D123" s="38"/>
      <c r="E123" s="38"/>
      <c r="F123" s="38"/>
      <c r="G123" s="38"/>
      <c r="H123" s="38"/>
    </row>
    <row r="124" spans="2:8" x14ac:dyDescent="0.35">
      <c r="B124" s="38"/>
      <c r="C124" s="38"/>
      <c r="D124" s="38"/>
      <c r="E124" s="38"/>
      <c r="F124" s="38"/>
      <c r="G124" s="38"/>
      <c r="H124" s="38"/>
    </row>
    <row r="125" spans="2:8" x14ac:dyDescent="0.35">
      <c r="B125" s="38"/>
      <c r="C125" s="38"/>
      <c r="D125" s="38"/>
      <c r="E125" s="38"/>
      <c r="F125" s="38"/>
      <c r="G125" s="38"/>
      <c r="H125" s="38"/>
    </row>
    <row r="126" spans="2:8" x14ac:dyDescent="0.35">
      <c r="B126" s="38"/>
      <c r="C126" s="38"/>
      <c r="D126" s="38"/>
      <c r="E126" s="38"/>
      <c r="F126" s="38"/>
      <c r="G126" s="38"/>
      <c r="H126" s="38"/>
    </row>
    <row r="127" spans="2:8" x14ac:dyDescent="0.35">
      <c r="B127" s="38"/>
      <c r="C127" s="38"/>
      <c r="D127" s="38"/>
      <c r="E127" s="38"/>
      <c r="F127" s="38"/>
      <c r="G127" s="38"/>
      <c r="H127" s="38"/>
    </row>
    <row r="128" spans="2:8" x14ac:dyDescent="0.35">
      <c r="B128" s="38"/>
      <c r="C128" s="38"/>
      <c r="D128" s="38"/>
      <c r="E128" s="38"/>
      <c r="F128" s="38"/>
      <c r="G128" s="38"/>
      <c r="H128" s="38"/>
    </row>
    <row r="129" spans="2:8" x14ac:dyDescent="0.35">
      <c r="B129" s="38"/>
      <c r="C129" s="38"/>
      <c r="D129" s="38"/>
      <c r="E129" s="38"/>
      <c r="F129" s="38"/>
      <c r="G129" s="38"/>
      <c r="H129" s="38"/>
    </row>
    <row r="130" spans="2:8" x14ac:dyDescent="0.35">
      <c r="B130" s="38"/>
      <c r="C130" s="38"/>
      <c r="D130" s="38"/>
      <c r="E130" s="38"/>
      <c r="F130" s="38"/>
      <c r="G130" s="38"/>
      <c r="H130" s="38"/>
    </row>
    <row r="131" spans="2:8" x14ac:dyDescent="0.35">
      <c r="B131" s="38"/>
      <c r="C131" s="38"/>
      <c r="D131" s="38"/>
      <c r="E131" s="38"/>
      <c r="F131" s="38"/>
      <c r="G131" s="38"/>
      <c r="H131" s="38"/>
    </row>
    <row r="132" spans="2:8" x14ac:dyDescent="0.35">
      <c r="B132" s="38"/>
      <c r="C132" s="38"/>
      <c r="D132" s="38"/>
      <c r="E132" s="38"/>
      <c r="F132" s="38"/>
      <c r="G132" s="38"/>
      <c r="H132" s="38"/>
    </row>
    <row r="133" spans="2:8" x14ac:dyDescent="0.35">
      <c r="B133" s="38"/>
      <c r="C133" s="38"/>
      <c r="D133" s="38"/>
      <c r="E133" s="38"/>
      <c r="F133" s="38"/>
      <c r="G133" s="38"/>
      <c r="H133" s="38"/>
    </row>
    <row r="134" spans="2:8" x14ac:dyDescent="0.35">
      <c r="B134" s="38"/>
      <c r="C134" s="38"/>
      <c r="D134" s="38"/>
      <c r="E134" s="38"/>
      <c r="F134" s="38"/>
      <c r="G134" s="38"/>
      <c r="H134" s="38"/>
    </row>
    <row r="135" spans="2:8" x14ac:dyDescent="0.35">
      <c r="B135" s="38"/>
      <c r="C135" s="38"/>
      <c r="D135" s="38"/>
      <c r="E135" s="38"/>
      <c r="F135" s="38"/>
      <c r="G135" s="38"/>
      <c r="H135" s="38"/>
    </row>
    <row r="136" spans="2:8" x14ac:dyDescent="0.35">
      <c r="B136" s="38"/>
      <c r="C136" s="38"/>
      <c r="D136" s="38"/>
      <c r="E136" s="38"/>
      <c r="F136" s="38"/>
      <c r="G136" s="38"/>
      <c r="H136" s="38"/>
    </row>
    <row r="137" spans="2:8" x14ac:dyDescent="0.35">
      <c r="B137" s="38"/>
      <c r="C137" s="38"/>
      <c r="D137" s="38"/>
      <c r="E137" s="38"/>
      <c r="F137" s="38"/>
      <c r="G137" s="38"/>
      <c r="H137" s="38"/>
    </row>
    <row r="138" spans="2:8" x14ac:dyDescent="0.35">
      <c r="B138" s="38"/>
      <c r="C138" s="38"/>
      <c r="D138" s="38"/>
      <c r="E138" s="38"/>
      <c r="F138" s="38"/>
      <c r="G138" s="38"/>
      <c r="H138" s="38"/>
    </row>
    <row r="139" spans="2:8" x14ac:dyDescent="0.35">
      <c r="B139" s="38"/>
      <c r="C139" s="38"/>
      <c r="D139" s="38"/>
      <c r="E139" s="38"/>
      <c r="F139" s="38"/>
      <c r="G139" s="38"/>
      <c r="H139" s="38"/>
    </row>
    <row r="140" spans="2:8" x14ac:dyDescent="0.35">
      <c r="B140" s="38"/>
      <c r="C140" s="38"/>
      <c r="D140" s="38"/>
      <c r="E140" s="38"/>
      <c r="F140" s="38"/>
      <c r="G140" s="38"/>
      <c r="H140" s="38"/>
    </row>
    <row r="141" spans="2:8" x14ac:dyDescent="0.35">
      <c r="B141" s="38"/>
      <c r="C141" s="38"/>
      <c r="D141" s="38"/>
      <c r="E141" s="38"/>
      <c r="F141" s="38"/>
      <c r="G141" s="38"/>
      <c r="H141" s="38"/>
    </row>
    <row r="142" spans="2:8" x14ac:dyDescent="0.35">
      <c r="B142" s="38"/>
      <c r="C142" s="38"/>
      <c r="D142" s="38"/>
      <c r="E142" s="38"/>
      <c r="F142" s="38"/>
      <c r="G142" s="38"/>
      <c r="H142" s="38"/>
    </row>
    <row r="143" spans="2:8" x14ac:dyDescent="0.35">
      <c r="B143" s="38"/>
      <c r="C143" s="38"/>
      <c r="D143" s="38"/>
      <c r="E143" s="38"/>
      <c r="F143" s="38"/>
      <c r="G143" s="38"/>
      <c r="H143" s="38"/>
    </row>
    <row r="144" spans="2:8" x14ac:dyDescent="0.35">
      <c r="B144" s="38"/>
      <c r="C144" s="38"/>
      <c r="D144" s="38"/>
      <c r="E144" s="38"/>
      <c r="F144" s="38"/>
      <c r="G144" s="38"/>
      <c r="H144" s="38"/>
    </row>
    <row r="145" spans="2:8" x14ac:dyDescent="0.35">
      <c r="B145" s="38"/>
      <c r="C145" s="38"/>
      <c r="D145" s="38"/>
      <c r="E145" s="38"/>
      <c r="F145" s="38"/>
      <c r="G145" s="38"/>
      <c r="H145" s="38"/>
    </row>
    <row r="146" spans="2:8" x14ac:dyDescent="0.35">
      <c r="B146" s="38"/>
      <c r="C146" s="38"/>
      <c r="D146" s="38"/>
      <c r="E146" s="38"/>
      <c r="F146" s="38"/>
      <c r="G146" s="38"/>
      <c r="H146" s="38"/>
    </row>
    <row r="147" spans="2:8" x14ac:dyDescent="0.35">
      <c r="B147" s="38"/>
      <c r="C147" s="38"/>
      <c r="D147" s="38"/>
      <c r="E147" s="38"/>
      <c r="F147" s="38"/>
      <c r="G147" s="38"/>
      <c r="H147" s="38"/>
    </row>
    <row r="148" spans="2:8" x14ac:dyDescent="0.35">
      <c r="B148" s="38"/>
      <c r="C148" s="38"/>
      <c r="D148" s="38"/>
      <c r="E148" s="38"/>
      <c r="F148" s="38"/>
      <c r="G148" s="38"/>
      <c r="H148" s="38"/>
    </row>
    <row r="149" spans="2:8" x14ac:dyDescent="0.35">
      <c r="B149" s="38"/>
      <c r="C149" s="38"/>
      <c r="D149" s="38"/>
      <c r="E149" s="38"/>
      <c r="F149" s="38"/>
      <c r="G149" s="38"/>
      <c r="H149" s="38"/>
    </row>
    <row r="150" spans="2:8" x14ac:dyDescent="0.35">
      <c r="B150" s="38"/>
      <c r="C150" s="38"/>
      <c r="D150" s="38"/>
      <c r="E150" s="38"/>
      <c r="F150" s="38"/>
      <c r="G150" s="38"/>
      <c r="H150" s="38"/>
    </row>
    <row r="151" spans="2:8" x14ac:dyDescent="0.35">
      <c r="B151" s="38"/>
      <c r="C151" s="38"/>
      <c r="D151" s="38"/>
      <c r="E151" s="38"/>
      <c r="F151" s="38"/>
      <c r="G151" s="38"/>
      <c r="H151" s="38"/>
    </row>
    <row r="152" spans="2:8" x14ac:dyDescent="0.35">
      <c r="B152" s="38"/>
      <c r="C152" s="38"/>
      <c r="D152" s="38"/>
      <c r="E152" s="38"/>
      <c r="F152" s="38"/>
      <c r="G152" s="38"/>
      <c r="H152" s="38"/>
    </row>
    <row r="153" spans="2:8" x14ac:dyDescent="0.35">
      <c r="B153" s="38"/>
      <c r="C153" s="38"/>
      <c r="D153" s="38"/>
      <c r="E153" s="38"/>
      <c r="F153" s="38"/>
      <c r="G153" s="38"/>
      <c r="H153" s="38"/>
    </row>
    <row r="154" spans="2:8" x14ac:dyDescent="0.35">
      <c r="B154" s="38"/>
      <c r="C154" s="38"/>
      <c r="D154" s="38"/>
      <c r="E154" s="38"/>
      <c r="F154" s="38"/>
      <c r="G154" s="38"/>
      <c r="H154" s="38"/>
    </row>
    <row r="155" spans="2:8" x14ac:dyDescent="0.35">
      <c r="B155" s="38"/>
      <c r="C155" s="38"/>
      <c r="D155" s="38"/>
      <c r="E155" s="38"/>
      <c r="F155" s="38"/>
      <c r="G155" s="38"/>
      <c r="H155" s="38"/>
    </row>
    <row r="156" spans="2:8" x14ac:dyDescent="0.35">
      <c r="B156" s="38"/>
      <c r="C156" s="38"/>
      <c r="D156" s="38"/>
      <c r="E156" s="38"/>
      <c r="F156" s="38"/>
      <c r="G156" s="38"/>
      <c r="H156" s="38"/>
    </row>
    <row r="157" spans="2:8" x14ac:dyDescent="0.35">
      <c r="B157" s="38"/>
      <c r="C157" s="38"/>
      <c r="D157" s="38"/>
      <c r="E157" s="38"/>
      <c r="F157" s="38"/>
      <c r="G157" s="38"/>
      <c r="H157" s="38"/>
    </row>
    <row r="158" spans="2:8" x14ac:dyDescent="0.35">
      <c r="B158" s="38"/>
      <c r="C158" s="38"/>
      <c r="D158" s="38"/>
      <c r="E158" s="38"/>
      <c r="F158" s="38"/>
      <c r="G158" s="38"/>
      <c r="H158" s="38"/>
    </row>
    <row r="159" spans="2:8" x14ac:dyDescent="0.35">
      <c r="B159" s="38"/>
      <c r="C159" s="38"/>
      <c r="D159" s="38"/>
      <c r="E159" s="38"/>
      <c r="F159" s="38"/>
      <c r="G159" s="38"/>
      <c r="H159" s="38"/>
    </row>
    <row r="160" spans="2:8" x14ac:dyDescent="0.35">
      <c r="B160" s="38"/>
      <c r="C160" s="38"/>
      <c r="D160" s="38"/>
      <c r="E160" s="38"/>
      <c r="F160" s="38"/>
      <c r="G160" s="38"/>
      <c r="H160" s="38"/>
    </row>
    <row r="161" spans="2:8" x14ac:dyDescent="0.35">
      <c r="B161" s="38"/>
      <c r="C161" s="38"/>
      <c r="D161" s="38"/>
      <c r="E161" s="38"/>
      <c r="F161" s="38"/>
      <c r="G161" s="38"/>
      <c r="H161" s="38"/>
    </row>
    <row r="162" spans="2:8" x14ac:dyDescent="0.35">
      <c r="B162" s="38"/>
      <c r="C162" s="38"/>
      <c r="D162" s="38"/>
      <c r="E162" s="38"/>
      <c r="F162" s="38"/>
      <c r="G162" s="38"/>
      <c r="H162" s="38"/>
    </row>
    <row r="163" spans="2:8" x14ac:dyDescent="0.35">
      <c r="B163" s="38"/>
      <c r="C163" s="38"/>
      <c r="D163" s="38"/>
      <c r="E163" s="38"/>
      <c r="F163" s="38"/>
      <c r="G163" s="38"/>
      <c r="H163" s="38"/>
    </row>
    <row r="164" spans="2:8" x14ac:dyDescent="0.35">
      <c r="B164" s="38"/>
      <c r="C164" s="38"/>
      <c r="D164" s="38"/>
      <c r="E164" s="38"/>
      <c r="F164" s="38"/>
      <c r="G164" s="38"/>
      <c r="H164" s="38"/>
    </row>
    <row r="165" spans="2:8" x14ac:dyDescent="0.35">
      <c r="B165" s="38"/>
      <c r="C165" s="38"/>
      <c r="D165" s="38"/>
      <c r="E165" s="38"/>
      <c r="F165" s="38"/>
      <c r="G165" s="38"/>
      <c r="H165" s="38"/>
    </row>
    <row r="166" spans="2:8" x14ac:dyDescent="0.35">
      <c r="B166" s="38"/>
      <c r="C166" s="38"/>
      <c r="D166" s="38"/>
      <c r="E166" s="38"/>
      <c r="F166" s="38"/>
      <c r="G166" s="38"/>
      <c r="H166" s="38"/>
    </row>
    <row r="167" spans="2:8" x14ac:dyDescent="0.35">
      <c r="B167" s="38"/>
      <c r="C167" s="38"/>
      <c r="D167" s="38"/>
      <c r="E167" s="38"/>
      <c r="F167" s="38"/>
      <c r="G167" s="38"/>
      <c r="H167" s="38"/>
    </row>
    <row r="168" spans="2:8" x14ac:dyDescent="0.35">
      <c r="B168" s="38"/>
      <c r="C168" s="38"/>
      <c r="D168" s="38"/>
      <c r="E168" s="38"/>
      <c r="F168" s="38"/>
      <c r="G168" s="38"/>
      <c r="H168" s="38"/>
    </row>
    <row r="169" spans="2:8" x14ac:dyDescent="0.35">
      <c r="B169" s="38"/>
      <c r="C169" s="38"/>
      <c r="D169" s="38"/>
      <c r="E169" s="38"/>
      <c r="F169" s="38"/>
      <c r="G169" s="38"/>
      <c r="H169" s="38"/>
    </row>
    <row r="170" spans="2:8" x14ac:dyDescent="0.35">
      <c r="B170" s="38"/>
      <c r="C170" s="38"/>
      <c r="D170" s="38"/>
      <c r="E170" s="38"/>
      <c r="F170" s="38"/>
      <c r="G170" s="38"/>
      <c r="H170" s="38"/>
    </row>
    <row r="171" spans="2:8" x14ac:dyDescent="0.35">
      <c r="B171" s="38"/>
      <c r="C171" s="38"/>
      <c r="D171" s="38"/>
      <c r="E171" s="38"/>
      <c r="F171" s="38"/>
      <c r="G171" s="38"/>
      <c r="H171" s="38"/>
    </row>
    <row r="172" spans="2:8" x14ac:dyDescent="0.35">
      <c r="B172" s="38"/>
      <c r="C172" s="38"/>
      <c r="D172" s="38"/>
      <c r="E172" s="38"/>
      <c r="F172" s="38"/>
      <c r="G172" s="38"/>
      <c r="H172" s="38"/>
    </row>
    <row r="173" spans="2:8" x14ac:dyDescent="0.35">
      <c r="B173" s="38"/>
      <c r="C173" s="38"/>
      <c r="D173" s="38"/>
      <c r="E173" s="38"/>
      <c r="F173" s="38"/>
      <c r="G173" s="38"/>
      <c r="H173" s="38"/>
    </row>
    <row r="174" spans="2:8" x14ac:dyDescent="0.35">
      <c r="B174" s="38"/>
      <c r="C174" s="38"/>
      <c r="D174" s="38"/>
      <c r="E174" s="38"/>
      <c r="F174" s="38"/>
      <c r="G174" s="38"/>
      <c r="H174" s="38"/>
    </row>
    <row r="175" spans="2:8" x14ac:dyDescent="0.35">
      <c r="B175" s="38"/>
      <c r="C175" s="38"/>
      <c r="D175" s="38"/>
      <c r="E175" s="38"/>
      <c r="F175" s="38"/>
      <c r="G175" s="38"/>
      <c r="H175" s="38"/>
    </row>
    <row r="176" spans="2:8" x14ac:dyDescent="0.35">
      <c r="B176" s="38"/>
      <c r="C176" s="38"/>
      <c r="D176" s="38"/>
      <c r="E176" s="38"/>
      <c r="F176" s="38"/>
      <c r="G176" s="38"/>
      <c r="H176" s="38"/>
    </row>
    <row r="177" spans="2:8" x14ac:dyDescent="0.35">
      <c r="B177" s="38"/>
      <c r="C177" s="38"/>
      <c r="D177" s="38"/>
      <c r="E177" s="38"/>
      <c r="F177" s="38"/>
      <c r="G177" s="38"/>
      <c r="H177" s="38"/>
    </row>
    <row r="178" spans="2:8" x14ac:dyDescent="0.35">
      <c r="B178" s="38"/>
      <c r="C178" s="38"/>
      <c r="D178" s="38"/>
      <c r="E178" s="38"/>
      <c r="F178" s="38"/>
      <c r="G178" s="38"/>
      <c r="H178" s="38"/>
    </row>
    <row r="179" spans="2:8" x14ac:dyDescent="0.35">
      <c r="B179" s="38"/>
      <c r="C179" s="38"/>
      <c r="D179" s="38"/>
      <c r="E179" s="38"/>
      <c r="F179" s="38"/>
      <c r="G179" s="38"/>
      <c r="H179" s="38"/>
    </row>
    <row r="180" spans="2:8" x14ac:dyDescent="0.35">
      <c r="B180" s="38"/>
      <c r="C180" s="38"/>
      <c r="D180" s="38"/>
      <c r="E180" s="38"/>
      <c r="F180" s="38"/>
      <c r="G180" s="38"/>
      <c r="H180" s="38"/>
    </row>
    <row r="181" spans="2:8" x14ac:dyDescent="0.35">
      <c r="B181" s="38"/>
      <c r="C181" s="38"/>
      <c r="D181" s="38"/>
      <c r="E181" s="38"/>
      <c r="F181" s="38"/>
      <c r="G181" s="38"/>
      <c r="H181" s="38"/>
    </row>
    <row r="182" spans="2:8" x14ac:dyDescent="0.35">
      <c r="B182" s="38"/>
      <c r="C182" s="38"/>
      <c r="D182" s="38"/>
      <c r="E182" s="38"/>
      <c r="F182" s="38"/>
      <c r="G182" s="38"/>
      <c r="H182" s="38"/>
    </row>
    <row r="183" spans="2:8" x14ac:dyDescent="0.35">
      <c r="B183" s="38"/>
      <c r="C183" s="38"/>
      <c r="D183" s="38"/>
      <c r="E183" s="38"/>
      <c r="F183" s="38"/>
      <c r="G183" s="38"/>
      <c r="H183" s="38"/>
    </row>
    <row r="184" spans="2:8" x14ac:dyDescent="0.35">
      <c r="B184" s="38"/>
      <c r="C184" s="38"/>
      <c r="D184" s="38"/>
      <c r="E184" s="38"/>
      <c r="F184" s="38"/>
      <c r="G184" s="38"/>
      <c r="H184" s="38"/>
    </row>
    <row r="185" spans="2:8" x14ac:dyDescent="0.35">
      <c r="B185" s="38"/>
      <c r="C185" s="38"/>
      <c r="D185" s="38"/>
      <c r="E185" s="38"/>
      <c r="F185" s="38"/>
      <c r="G185" s="38"/>
      <c r="H185" s="38"/>
    </row>
    <row r="186" spans="2:8" x14ac:dyDescent="0.35">
      <c r="B186" s="38"/>
      <c r="C186" s="38"/>
      <c r="D186" s="38"/>
      <c r="E186" s="38"/>
      <c r="F186" s="38"/>
      <c r="G186" s="38"/>
      <c r="H186" s="38"/>
    </row>
    <row r="187" spans="2:8" x14ac:dyDescent="0.35">
      <c r="B187" s="38"/>
      <c r="C187" s="38"/>
      <c r="D187" s="38"/>
      <c r="E187" s="38"/>
      <c r="F187" s="38"/>
      <c r="G187" s="38"/>
      <c r="H187" s="38"/>
    </row>
    <row r="188" spans="2:8" x14ac:dyDescent="0.35">
      <c r="B188" s="38"/>
      <c r="C188" s="38"/>
      <c r="D188" s="38"/>
      <c r="E188" s="38"/>
      <c r="F188" s="38"/>
      <c r="G188" s="38"/>
      <c r="H188" s="38"/>
    </row>
    <row r="189" spans="2:8" x14ac:dyDescent="0.35">
      <c r="B189" s="38"/>
      <c r="C189" s="38"/>
      <c r="D189" s="38"/>
      <c r="E189" s="38"/>
      <c r="F189" s="38"/>
      <c r="G189" s="38"/>
      <c r="H189" s="38"/>
    </row>
    <row r="190" spans="2:8" x14ac:dyDescent="0.35">
      <c r="B190" s="38"/>
      <c r="C190" s="38"/>
      <c r="D190" s="38"/>
      <c r="E190" s="38"/>
      <c r="F190" s="38"/>
      <c r="G190" s="38"/>
      <c r="H190" s="38"/>
    </row>
    <row r="191" spans="2:8" x14ac:dyDescent="0.35">
      <c r="B191" s="38"/>
      <c r="C191" s="38"/>
      <c r="D191" s="38"/>
      <c r="E191" s="38"/>
      <c r="F191" s="38"/>
      <c r="G191" s="38"/>
      <c r="H191" s="38"/>
    </row>
    <row r="192" spans="2:8" x14ac:dyDescent="0.35">
      <c r="B192" s="38"/>
      <c r="C192" s="38"/>
      <c r="D192" s="38"/>
      <c r="E192" s="38"/>
      <c r="F192" s="38"/>
      <c r="G192" s="38"/>
      <c r="H192" s="38"/>
    </row>
    <row r="193" spans="2:8" x14ac:dyDescent="0.35">
      <c r="B193" s="38"/>
      <c r="C193" s="38"/>
      <c r="D193" s="38"/>
      <c r="E193" s="38"/>
      <c r="F193" s="38"/>
      <c r="G193" s="38"/>
      <c r="H193" s="38"/>
    </row>
    <row r="194" spans="2:8" x14ac:dyDescent="0.35">
      <c r="B194" s="38"/>
      <c r="C194" s="38"/>
      <c r="D194" s="38"/>
      <c r="E194" s="38"/>
      <c r="F194" s="38"/>
      <c r="G194" s="38"/>
      <c r="H194" s="38"/>
    </row>
    <row r="195" spans="2:8" x14ac:dyDescent="0.35">
      <c r="B195" s="38"/>
      <c r="C195" s="38"/>
      <c r="D195" s="38"/>
      <c r="E195" s="38"/>
      <c r="F195" s="38"/>
      <c r="G195" s="38"/>
      <c r="H195" s="38"/>
    </row>
    <row r="196" spans="2:8" x14ac:dyDescent="0.35">
      <c r="B196" s="38"/>
      <c r="C196" s="38"/>
      <c r="D196" s="38"/>
      <c r="E196" s="38"/>
      <c r="F196" s="38"/>
      <c r="G196" s="38"/>
      <c r="H196" s="38"/>
    </row>
    <row r="197" spans="2:8" x14ac:dyDescent="0.35">
      <c r="B197" s="38"/>
      <c r="C197" s="38"/>
      <c r="D197" s="38"/>
      <c r="E197" s="38"/>
      <c r="F197" s="38"/>
      <c r="G197" s="38"/>
      <c r="H197" s="38"/>
    </row>
    <row r="198" spans="2:8" x14ac:dyDescent="0.35">
      <c r="B198" s="38"/>
      <c r="C198" s="38"/>
      <c r="D198" s="38"/>
      <c r="E198" s="38"/>
      <c r="F198" s="38"/>
      <c r="G198" s="38"/>
      <c r="H198" s="38"/>
    </row>
    <row r="199" spans="2:8" x14ac:dyDescent="0.35">
      <c r="B199" s="38"/>
      <c r="C199" s="38"/>
      <c r="D199" s="38"/>
      <c r="E199" s="38"/>
      <c r="F199" s="38"/>
      <c r="G199" s="38"/>
      <c r="H199" s="38"/>
    </row>
    <row r="200" spans="2:8" x14ac:dyDescent="0.35">
      <c r="B200" s="38"/>
      <c r="C200" s="38"/>
      <c r="D200" s="38"/>
      <c r="E200" s="38"/>
      <c r="F200" s="38"/>
      <c r="G200" s="38"/>
      <c r="H200" s="38"/>
    </row>
    <row r="201" spans="2:8" x14ac:dyDescent="0.35">
      <c r="B201" s="38"/>
      <c r="C201" s="38"/>
      <c r="D201" s="38"/>
      <c r="E201" s="38"/>
      <c r="F201" s="38"/>
      <c r="G201" s="38"/>
      <c r="H201" s="38"/>
    </row>
    <row r="202" spans="2:8" x14ac:dyDescent="0.35">
      <c r="B202" s="38"/>
      <c r="C202" s="38"/>
      <c r="D202" s="38"/>
      <c r="E202" s="38"/>
      <c r="F202" s="38"/>
      <c r="G202" s="38"/>
      <c r="H202" s="38"/>
    </row>
    <row r="203" spans="2:8" x14ac:dyDescent="0.35">
      <c r="B203" s="38"/>
      <c r="C203" s="38"/>
      <c r="D203" s="38"/>
      <c r="E203" s="38"/>
      <c r="F203" s="38"/>
      <c r="G203" s="38"/>
      <c r="H203" s="38"/>
    </row>
    <row r="204" spans="2:8" x14ac:dyDescent="0.35">
      <c r="B204" s="38"/>
      <c r="C204" s="38"/>
      <c r="D204" s="38"/>
      <c r="E204" s="38"/>
      <c r="F204" s="38"/>
      <c r="G204" s="38"/>
      <c r="H204" s="38"/>
    </row>
    <row r="205" spans="2:8" x14ac:dyDescent="0.35">
      <c r="B205" s="38"/>
      <c r="C205" s="38"/>
      <c r="D205" s="38"/>
      <c r="E205" s="38"/>
      <c r="F205" s="38"/>
      <c r="G205" s="38"/>
      <c r="H205" s="38"/>
    </row>
    <row r="206" spans="2:8" x14ac:dyDescent="0.35">
      <c r="B206" s="38"/>
      <c r="C206" s="38"/>
      <c r="D206" s="38"/>
      <c r="E206" s="38"/>
      <c r="F206" s="38"/>
      <c r="G206" s="38"/>
      <c r="H206" s="38"/>
    </row>
    <row r="207" spans="2:8" x14ac:dyDescent="0.35">
      <c r="B207" s="38"/>
      <c r="C207" s="38"/>
      <c r="D207" s="38"/>
      <c r="E207" s="38"/>
      <c r="F207" s="38"/>
      <c r="G207" s="38"/>
      <c r="H207" s="38"/>
    </row>
    <row r="208" spans="2:8" x14ac:dyDescent="0.35">
      <c r="B208" s="38"/>
      <c r="C208" s="38"/>
      <c r="D208" s="38"/>
      <c r="E208" s="38"/>
      <c r="F208" s="38"/>
      <c r="G208" s="38"/>
      <c r="H208" s="38"/>
    </row>
    <row r="209" spans="2:8" x14ac:dyDescent="0.35">
      <c r="B209" s="38"/>
      <c r="C209" s="38"/>
      <c r="D209" s="38"/>
      <c r="E209" s="38"/>
      <c r="F209" s="38"/>
      <c r="G209" s="38"/>
      <c r="H209" s="38"/>
    </row>
    <row r="210" spans="2:8" x14ac:dyDescent="0.35">
      <c r="B210" s="38"/>
      <c r="C210" s="38"/>
      <c r="D210" s="38"/>
      <c r="E210" s="38"/>
      <c r="F210" s="38"/>
      <c r="G210" s="38"/>
      <c r="H210" s="38"/>
    </row>
    <row r="211" spans="2:8" x14ac:dyDescent="0.35">
      <c r="B211" s="38"/>
      <c r="C211" s="38"/>
      <c r="D211" s="38"/>
      <c r="E211" s="38"/>
      <c r="F211" s="38"/>
      <c r="G211" s="38"/>
      <c r="H211" s="38"/>
    </row>
    <row r="212" spans="2:8" x14ac:dyDescent="0.35">
      <c r="B212" s="38"/>
      <c r="C212" s="38"/>
      <c r="D212" s="38"/>
      <c r="E212" s="38"/>
      <c r="F212" s="38"/>
      <c r="G212" s="38"/>
      <c r="H212" s="38"/>
    </row>
    <row r="213" spans="2:8" x14ac:dyDescent="0.35">
      <c r="B213" s="38"/>
      <c r="C213" s="38"/>
      <c r="D213" s="38"/>
      <c r="E213" s="38"/>
      <c r="F213" s="38"/>
      <c r="G213" s="38"/>
      <c r="H213" s="38"/>
    </row>
    <row r="214" spans="2:8" x14ac:dyDescent="0.35">
      <c r="B214" s="38"/>
      <c r="C214" s="38"/>
      <c r="D214" s="38"/>
      <c r="E214" s="38"/>
      <c r="F214" s="38"/>
      <c r="G214" s="38"/>
      <c r="H214" s="38"/>
    </row>
    <row r="215" spans="2:8" x14ac:dyDescent="0.35">
      <c r="B215" s="38"/>
      <c r="C215" s="38"/>
      <c r="D215" s="38"/>
      <c r="E215" s="38"/>
      <c r="F215" s="38"/>
      <c r="G215" s="38"/>
      <c r="H215" s="38"/>
    </row>
    <row r="216" spans="2:8" x14ac:dyDescent="0.35">
      <c r="B216" s="38"/>
      <c r="C216" s="38"/>
      <c r="D216" s="38"/>
      <c r="E216" s="38"/>
      <c r="F216" s="38"/>
      <c r="G216" s="38"/>
      <c r="H216" s="38"/>
    </row>
    <row r="217" spans="2:8" x14ac:dyDescent="0.35">
      <c r="B217" s="38"/>
      <c r="C217" s="38"/>
      <c r="D217" s="38"/>
      <c r="E217" s="38"/>
      <c r="F217" s="38"/>
      <c r="G217" s="38"/>
      <c r="H217" s="38"/>
    </row>
    <row r="218" spans="2:8" x14ac:dyDescent="0.35">
      <c r="B218" s="38"/>
      <c r="C218" s="38"/>
      <c r="D218" s="38"/>
      <c r="E218" s="38"/>
      <c r="F218" s="38"/>
      <c r="G218" s="38"/>
      <c r="H218" s="38"/>
    </row>
    <row r="219" spans="2:8" x14ac:dyDescent="0.35">
      <c r="B219" s="38"/>
      <c r="C219" s="38"/>
      <c r="D219" s="38"/>
      <c r="E219" s="38"/>
      <c r="F219" s="38"/>
      <c r="G219" s="38"/>
      <c r="H219" s="38"/>
    </row>
    <row r="220" spans="2:8" x14ac:dyDescent="0.35">
      <c r="B220" s="38"/>
      <c r="C220" s="38"/>
      <c r="D220" s="38"/>
      <c r="E220" s="38"/>
      <c r="F220" s="38"/>
      <c r="G220" s="38"/>
      <c r="H220" s="38"/>
    </row>
    <row r="221" spans="2:8" x14ac:dyDescent="0.35">
      <c r="B221" s="38"/>
      <c r="C221" s="38"/>
      <c r="D221" s="38"/>
      <c r="E221" s="38"/>
      <c r="F221" s="38"/>
      <c r="G221" s="38"/>
      <c r="H221" s="38"/>
    </row>
    <row r="222" spans="2:8" x14ac:dyDescent="0.35">
      <c r="B222" s="38"/>
      <c r="C222" s="38"/>
      <c r="D222" s="38"/>
      <c r="E222" s="38"/>
      <c r="F222" s="38"/>
      <c r="G222" s="38"/>
      <c r="H222" s="38"/>
    </row>
    <row r="223" spans="2:8" x14ac:dyDescent="0.35">
      <c r="B223" s="38"/>
      <c r="C223" s="38"/>
      <c r="D223" s="38"/>
      <c r="E223" s="38"/>
      <c r="F223" s="38"/>
      <c r="G223" s="38"/>
      <c r="H223" s="38"/>
    </row>
    <row r="224" spans="2:8" x14ac:dyDescent="0.35">
      <c r="B224" s="38"/>
      <c r="C224" s="38"/>
      <c r="D224" s="38"/>
      <c r="E224" s="38"/>
      <c r="F224" s="38"/>
      <c r="G224" s="38"/>
      <c r="H224" s="38"/>
    </row>
    <row r="225" spans="2:8" x14ac:dyDescent="0.35">
      <c r="B225" s="38"/>
      <c r="C225" s="38"/>
      <c r="D225" s="38"/>
      <c r="E225" s="38"/>
      <c r="F225" s="38"/>
      <c r="G225" s="38"/>
      <c r="H225" s="38"/>
    </row>
    <row r="226" spans="2:8" x14ac:dyDescent="0.35">
      <c r="B226" s="38"/>
      <c r="C226" s="38"/>
      <c r="D226" s="38"/>
      <c r="E226" s="38"/>
      <c r="F226" s="38"/>
      <c r="G226" s="38"/>
      <c r="H226" s="38"/>
    </row>
    <row r="227" spans="2:8" x14ac:dyDescent="0.35">
      <c r="B227" s="38"/>
      <c r="C227" s="38"/>
      <c r="D227" s="38"/>
      <c r="E227" s="38"/>
      <c r="F227" s="38"/>
      <c r="G227" s="38"/>
      <c r="H227" s="38"/>
    </row>
    <row r="228" spans="2:8" x14ac:dyDescent="0.35">
      <c r="B228" s="38"/>
      <c r="C228" s="38"/>
      <c r="D228" s="38"/>
      <c r="E228" s="38"/>
      <c r="F228" s="38"/>
      <c r="G228" s="38"/>
      <c r="H228" s="38"/>
    </row>
    <row r="229" spans="2:8" x14ac:dyDescent="0.35">
      <c r="B229" s="38"/>
      <c r="C229" s="38"/>
      <c r="D229" s="38"/>
      <c r="E229" s="38"/>
      <c r="F229" s="38"/>
      <c r="G229" s="38"/>
      <c r="H229" s="38"/>
    </row>
    <row r="230" spans="2:8" x14ac:dyDescent="0.35">
      <c r="B230" s="38"/>
      <c r="C230" s="38"/>
      <c r="D230" s="38"/>
      <c r="E230" s="38"/>
      <c r="F230" s="38"/>
      <c r="G230" s="38"/>
      <c r="H230" s="38"/>
    </row>
    <row r="231" spans="2:8" x14ac:dyDescent="0.35">
      <c r="B231" s="38"/>
      <c r="C231" s="38"/>
      <c r="D231" s="38"/>
      <c r="E231" s="38"/>
      <c r="F231" s="38"/>
      <c r="G231" s="38"/>
      <c r="H231" s="38"/>
    </row>
    <row r="232" spans="2:8" x14ac:dyDescent="0.35">
      <c r="B232" s="38"/>
      <c r="C232" s="38"/>
      <c r="D232" s="38"/>
      <c r="E232" s="38"/>
      <c r="F232" s="38"/>
      <c r="G232" s="38"/>
      <c r="H232" s="38"/>
    </row>
    <row r="233" spans="2:8" x14ac:dyDescent="0.35">
      <c r="B233" s="38"/>
      <c r="C233" s="38"/>
      <c r="D233" s="38"/>
      <c r="E233" s="38"/>
      <c r="F233" s="38"/>
      <c r="G233" s="38"/>
      <c r="H233" s="38"/>
    </row>
    <row r="234" spans="2:8" x14ac:dyDescent="0.35">
      <c r="B234" s="38"/>
      <c r="C234" s="38"/>
      <c r="D234" s="38"/>
      <c r="E234" s="38"/>
      <c r="F234" s="38"/>
      <c r="G234" s="38"/>
      <c r="H234" s="38"/>
    </row>
    <row r="235" spans="2:8" x14ac:dyDescent="0.35">
      <c r="B235" s="38"/>
      <c r="C235" s="38"/>
      <c r="D235" s="38"/>
      <c r="E235" s="38"/>
      <c r="F235" s="38"/>
      <c r="G235" s="38"/>
      <c r="H235" s="38"/>
    </row>
    <row r="236" spans="2:8" x14ac:dyDescent="0.35">
      <c r="B236" s="38"/>
      <c r="C236" s="38"/>
      <c r="D236" s="38"/>
      <c r="E236" s="38"/>
      <c r="F236" s="38"/>
      <c r="G236" s="38"/>
      <c r="H236" s="38"/>
    </row>
    <row r="237" spans="2:8" x14ac:dyDescent="0.35">
      <c r="B237" s="38"/>
      <c r="C237" s="38"/>
      <c r="D237" s="38"/>
      <c r="E237" s="38"/>
      <c r="F237" s="38"/>
      <c r="G237" s="38"/>
      <c r="H237" s="38"/>
    </row>
    <row r="238" spans="2:8" x14ac:dyDescent="0.35">
      <c r="B238" s="38"/>
      <c r="C238" s="38"/>
      <c r="D238" s="38"/>
      <c r="E238" s="38"/>
      <c r="F238" s="38"/>
      <c r="G238" s="38"/>
      <c r="H238" s="38"/>
    </row>
    <row r="239" spans="2:8" x14ac:dyDescent="0.35">
      <c r="B239" s="38"/>
      <c r="C239" s="38"/>
      <c r="D239" s="38"/>
      <c r="E239" s="38"/>
      <c r="F239" s="38"/>
      <c r="G239" s="38"/>
      <c r="H239" s="38"/>
    </row>
    <row r="240" spans="2:8" x14ac:dyDescent="0.35">
      <c r="B240" s="38"/>
      <c r="C240" s="38"/>
      <c r="D240" s="38"/>
      <c r="E240" s="38"/>
      <c r="F240" s="38"/>
      <c r="G240" s="38"/>
      <c r="H240" s="38"/>
    </row>
    <row r="241" spans="2:8" x14ac:dyDescent="0.35">
      <c r="B241" s="38"/>
      <c r="C241" s="38"/>
      <c r="D241" s="38"/>
      <c r="E241" s="38"/>
      <c r="F241" s="38"/>
      <c r="G241" s="38"/>
      <c r="H241" s="38"/>
    </row>
    <row r="242" spans="2:8" x14ac:dyDescent="0.35">
      <c r="B242" s="38"/>
      <c r="C242" s="38"/>
      <c r="D242" s="38"/>
      <c r="E242" s="38"/>
      <c r="F242" s="38"/>
      <c r="G242" s="38"/>
      <c r="H242" s="38"/>
    </row>
    <row r="243" spans="2:8" x14ac:dyDescent="0.35">
      <c r="B243" s="38"/>
      <c r="C243" s="38"/>
      <c r="D243" s="38"/>
      <c r="E243" s="38"/>
      <c r="F243" s="38"/>
      <c r="G243" s="38"/>
      <c r="H243" s="38"/>
    </row>
    <row r="244" spans="2:8" x14ac:dyDescent="0.35">
      <c r="B244" s="38"/>
      <c r="C244" s="38"/>
      <c r="D244" s="38"/>
      <c r="E244" s="38"/>
      <c r="F244" s="38"/>
      <c r="G244" s="38"/>
      <c r="H244" s="38"/>
    </row>
    <row r="245" spans="2:8" x14ac:dyDescent="0.35">
      <c r="B245" s="38"/>
      <c r="C245" s="38"/>
      <c r="D245" s="38"/>
      <c r="E245" s="38"/>
      <c r="F245" s="38"/>
      <c r="G245" s="38"/>
      <c r="H245" s="38"/>
    </row>
    <row r="246" spans="2:8" x14ac:dyDescent="0.35">
      <c r="B246" s="38"/>
      <c r="C246" s="38"/>
      <c r="D246" s="38"/>
      <c r="E246" s="38"/>
      <c r="F246" s="38"/>
      <c r="G246" s="38"/>
      <c r="H246" s="38"/>
    </row>
    <row r="247" spans="2:8" x14ac:dyDescent="0.35">
      <c r="B247" s="38"/>
      <c r="C247" s="38"/>
      <c r="D247" s="38"/>
      <c r="E247" s="38"/>
      <c r="F247" s="38"/>
      <c r="G247" s="38"/>
      <c r="H247" s="38"/>
    </row>
    <row r="248" spans="2:8" x14ac:dyDescent="0.35">
      <c r="B248" s="38"/>
      <c r="C248" s="38"/>
      <c r="D248" s="38"/>
      <c r="E248" s="38"/>
      <c r="F248" s="38"/>
      <c r="G248" s="38"/>
      <c r="H248" s="38"/>
    </row>
    <row r="249" spans="2:8" x14ac:dyDescent="0.35">
      <c r="B249" s="38"/>
      <c r="C249" s="38"/>
      <c r="D249" s="38"/>
      <c r="E249" s="38"/>
      <c r="F249" s="38"/>
      <c r="G249" s="38"/>
      <c r="H249" s="38"/>
    </row>
    <row r="250" spans="2:8" x14ac:dyDescent="0.35">
      <c r="B250" s="38"/>
      <c r="C250" s="38"/>
      <c r="D250" s="38"/>
      <c r="E250" s="38"/>
      <c r="F250" s="38"/>
      <c r="G250" s="38"/>
      <c r="H250" s="38"/>
    </row>
    <row r="251" spans="2:8" x14ac:dyDescent="0.35">
      <c r="B251" s="38"/>
      <c r="C251" s="38"/>
      <c r="D251" s="38"/>
      <c r="E251" s="38"/>
      <c r="F251" s="38"/>
      <c r="G251" s="38"/>
      <c r="H251" s="38"/>
    </row>
    <row r="252" spans="2:8" x14ac:dyDescent="0.35">
      <c r="B252" s="38"/>
      <c r="C252" s="38"/>
      <c r="D252" s="38"/>
      <c r="E252" s="38"/>
      <c r="F252" s="38"/>
      <c r="G252" s="38"/>
      <c r="H252" s="38"/>
    </row>
    <row r="253" spans="2:8" x14ac:dyDescent="0.35">
      <c r="B253" s="38"/>
      <c r="C253" s="38"/>
      <c r="D253" s="38"/>
      <c r="E253" s="38"/>
      <c r="F253" s="38"/>
      <c r="G253" s="38"/>
      <c r="H253" s="38"/>
    </row>
    <row r="254" spans="2:8" x14ac:dyDescent="0.35">
      <c r="B254" s="38"/>
      <c r="C254" s="38"/>
      <c r="D254" s="38"/>
      <c r="E254" s="38"/>
      <c r="F254" s="38"/>
      <c r="G254" s="38"/>
      <c r="H254" s="38"/>
    </row>
    <row r="255" spans="2:8" x14ac:dyDescent="0.35">
      <c r="B255" s="38"/>
      <c r="C255" s="38"/>
      <c r="D255" s="38"/>
      <c r="E255" s="38"/>
      <c r="F255" s="38"/>
      <c r="G255" s="38"/>
      <c r="H255" s="38"/>
    </row>
    <row r="256" spans="2:8" x14ac:dyDescent="0.35">
      <c r="B256" s="38"/>
      <c r="C256" s="38"/>
      <c r="D256" s="38"/>
      <c r="E256" s="38"/>
      <c r="F256" s="38"/>
      <c r="G256" s="38"/>
      <c r="H256" s="38"/>
    </row>
    <row r="257" spans="2:8" x14ac:dyDescent="0.35">
      <c r="B257" s="38"/>
      <c r="C257" s="38"/>
      <c r="D257" s="38"/>
      <c r="E257" s="38"/>
      <c r="F257" s="38"/>
      <c r="G257" s="38"/>
      <c r="H257" s="38"/>
    </row>
    <row r="258" spans="2:8" x14ac:dyDescent="0.35">
      <c r="B258" s="38"/>
      <c r="C258" s="38"/>
      <c r="D258" s="38"/>
      <c r="E258" s="38"/>
      <c r="F258" s="38"/>
      <c r="G258" s="38"/>
      <c r="H258" s="38"/>
    </row>
    <row r="259" spans="2:8" x14ac:dyDescent="0.35">
      <c r="B259" s="38"/>
      <c r="C259" s="38"/>
      <c r="D259" s="38"/>
      <c r="E259" s="38"/>
      <c r="F259" s="38"/>
      <c r="G259" s="38"/>
      <c r="H259" s="38"/>
    </row>
    <row r="260" spans="2:8" x14ac:dyDescent="0.35">
      <c r="B260" s="38"/>
      <c r="C260" s="38"/>
      <c r="D260" s="38"/>
      <c r="E260" s="38"/>
      <c r="F260" s="38"/>
      <c r="G260" s="38"/>
      <c r="H260" s="38"/>
    </row>
    <row r="261" spans="2:8" x14ac:dyDescent="0.35">
      <c r="B261" s="38"/>
      <c r="C261" s="38"/>
      <c r="D261" s="38"/>
      <c r="E261" s="38"/>
      <c r="F261" s="38"/>
      <c r="G261" s="38"/>
      <c r="H261" s="38"/>
    </row>
    <row r="262" spans="2:8" x14ac:dyDescent="0.35">
      <c r="B262" s="38"/>
      <c r="C262" s="38"/>
      <c r="D262" s="38"/>
      <c r="E262" s="38"/>
      <c r="F262" s="38"/>
      <c r="G262" s="38"/>
      <c r="H262" s="38"/>
    </row>
    <row r="263" spans="2:8" x14ac:dyDescent="0.35">
      <c r="B263" s="38"/>
      <c r="C263" s="38"/>
      <c r="D263" s="38"/>
      <c r="E263" s="38"/>
      <c r="F263" s="38"/>
      <c r="G263" s="38"/>
      <c r="H263" s="38"/>
    </row>
    <row r="264" spans="2:8" x14ac:dyDescent="0.35">
      <c r="B264" s="38"/>
      <c r="C264" s="38"/>
      <c r="D264" s="38"/>
      <c r="E264" s="38"/>
      <c r="F264" s="38"/>
      <c r="G264" s="38"/>
      <c r="H264" s="38"/>
    </row>
    <row r="265" spans="2:8" x14ac:dyDescent="0.35">
      <c r="B265" s="38"/>
      <c r="C265" s="38"/>
      <c r="D265" s="38"/>
      <c r="E265" s="38"/>
      <c r="F265" s="38"/>
      <c r="G265" s="38"/>
      <c r="H265" s="38"/>
    </row>
    <row r="266" spans="2:8" x14ac:dyDescent="0.35">
      <c r="B266" s="38"/>
      <c r="C266" s="38"/>
      <c r="D266" s="38"/>
      <c r="E266" s="38"/>
      <c r="F266" s="38"/>
      <c r="G266" s="38"/>
      <c r="H266" s="38"/>
    </row>
    <row r="267" spans="2:8" x14ac:dyDescent="0.35">
      <c r="B267" s="38"/>
      <c r="C267" s="38"/>
      <c r="D267" s="38"/>
      <c r="E267" s="38"/>
      <c r="F267" s="38"/>
      <c r="G267" s="38"/>
      <c r="H267" s="38"/>
    </row>
    <row r="268" spans="2:8" x14ac:dyDescent="0.35">
      <c r="B268" s="38"/>
      <c r="C268" s="38"/>
      <c r="D268" s="38"/>
      <c r="E268" s="38"/>
      <c r="F268" s="38"/>
      <c r="G268" s="38"/>
      <c r="H268" s="38"/>
    </row>
    <row r="269" spans="2:8" x14ac:dyDescent="0.35">
      <c r="B269" s="38"/>
      <c r="C269" s="38"/>
      <c r="D269" s="38"/>
      <c r="E269" s="38"/>
      <c r="F269" s="38"/>
      <c r="G269" s="38"/>
      <c r="H269" s="38"/>
    </row>
    <row r="270" spans="2:8" x14ac:dyDescent="0.35">
      <c r="B270" s="38"/>
      <c r="C270" s="38"/>
      <c r="D270" s="38"/>
      <c r="E270" s="38"/>
      <c r="F270" s="38"/>
      <c r="G270" s="38"/>
      <c r="H270" s="38"/>
    </row>
    <row r="271" spans="2:8" x14ac:dyDescent="0.35">
      <c r="B271" s="38"/>
      <c r="C271" s="38"/>
      <c r="D271" s="38"/>
      <c r="E271" s="38"/>
      <c r="F271" s="38"/>
      <c r="G271" s="38"/>
      <c r="H271" s="38"/>
    </row>
    <row r="272" spans="2:8" x14ac:dyDescent="0.35">
      <c r="B272" s="38"/>
      <c r="C272" s="38"/>
      <c r="D272" s="38"/>
      <c r="E272" s="38"/>
      <c r="F272" s="38"/>
      <c r="G272" s="38"/>
      <c r="H272" s="38"/>
    </row>
    <row r="273" spans="2:8" x14ac:dyDescent="0.35">
      <c r="B273" s="38"/>
      <c r="C273" s="38"/>
      <c r="D273" s="38"/>
      <c r="E273" s="38"/>
      <c r="F273" s="38"/>
      <c r="G273" s="38"/>
      <c r="H273" s="38"/>
    </row>
    <row r="274" spans="2:8" x14ac:dyDescent="0.35">
      <c r="B274" s="38"/>
      <c r="C274" s="38"/>
      <c r="D274" s="38"/>
      <c r="E274" s="38"/>
      <c r="F274" s="38"/>
      <c r="G274" s="38"/>
      <c r="H274" s="38"/>
    </row>
    <row r="275" spans="2:8" x14ac:dyDescent="0.35">
      <c r="B275" s="38"/>
      <c r="C275" s="38"/>
      <c r="D275" s="38"/>
      <c r="E275" s="38"/>
      <c r="F275" s="38"/>
      <c r="G275" s="38"/>
      <c r="H275" s="38"/>
    </row>
    <row r="276" spans="2:8" x14ac:dyDescent="0.35">
      <c r="B276" s="38"/>
      <c r="C276" s="38"/>
      <c r="D276" s="38"/>
      <c r="E276" s="38"/>
      <c r="F276" s="38"/>
      <c r="G276" s="38"/>
      <c r="H276" s="38"/>
    </row>
    <row r="277" spans="2:8" x14ac:dyDescent="0.35">
      <c r="B277" s="38"/>
      <c r="C277" s="38"/>
      <c r="D277" s="38"/>
      <c r="E277" s="38"/>
      <c r="F277" s="38"/>
      <c r="G277" s="38"/>
      <c r="H277" s="38"/>
    </row>
    <row r="278" spans="2:8" x14ac:dyDescent="0.35">
      <c r="B278" s="38"/>
      <c r="C278" s="38"/>
      <c r="D278" s="38"/>
      <c r="E278" s="38"/>
      <c r="F278" s="38"/>
      <c r="G278" s="38"/>
      <c r="H278" s="38"/>
    </row>
    <row r="279" spans="2:8" x14ac:dyDescent="0.35">
      <c r="B279" s="38"/>
      <c r="C279" s="38"/>
      <c r="D279" s="38"/>
      <c r="E279" s="38"/>
      <c r="F279" s="38"/>
      <c r="G279" s="38"/>
      <c r="H279" s="38"/>
    </row>
    <row r="280" spans="2:8" x14ac:dyDescent="0.35">
      <c r="B280" s="38"/>
      <c r="C280" s="38"/>
      <c r="D280" s="38"/>
      <c r="E280" s="38"/>
      <c r="F280" s="38"/>
      <c r="G280" s="38"/>
      <c r="H280" s="38"/>
    </row>
    <row r="281" spans="2:8" x14ac:dyDescent="0.35">
      <c r="B281" s="38"/>
      <c r="C281" s="38"/>
      <c r="D281" s="38"/>
      <c r="E281" s="38"/>
      <c r="F281" s="38"/>
      <c r="G281" s="38"/>
      <c r="H281" s="38"/>
    </row>
    <row r="282" spans="2:8" x14ac:dyDescent="0.35">
      <c r="B282" s="38"/>
      <c r="C282" s="38"/>
      <c r="D282" s="38"/>
      <c r="E282" s="38"/>
      <c r="F282" s="38"/>
      <c r="G282" s="38"/>
      <c r="H282" s="38"/>
    </row>
    <row r="283" spans="2:8" x14ac:dyDescent="0.35">
      <c r="B283" s="38"/>
      <c r="C283" s="38"/>
      <c r="D283" s="38"/>
      <c r="E283" s="38"/>
      <c r="F283" s="38"/>
      <c r="G283" s="38"/>
      <c r="H283" s="38"/>
    </row>
    <row r="284" spans="2:8" x14ac:dyDescent="0.35">
      <c r="B284" s="38"/>
      <c r="C284" s="38"/>
      <c r="D284" s="38"/>
      <c r="E284" s="38"/>
      <c r="F284" s="38"/>
      <c r="G284" s="38"/>
      <c r="H284" s="38"/>
    </row>
    <row r="285" spans="2:8" x14ac:dyDescent="0.35">
      <c r="B285" s="38"/>
      <c r="C285" s="38"/>
      <c r="D285" s="38"/>
      <c r="E285" s="38"/>
      <c r="F285" s="38"/>
      <c r="G285" s="38"/>
      <c r="H285" s="38"/>
    </row>
    <row r="286" spans="2:8" x14ac:dyDescent="0.35">
      <c r="B286" s="38"/>
      <c r="C286" s="38"/>
      <c r="D286" s="38"/>
      <c r="E286" s="38"/>
      <c r="F286" s="38"/>
      <c r="G286" s="38"/>
      <c r="H286" s="38"/>
    </row>
    <row r="287" spans="2:8" x14ac:dyDescent="0.35">
      <c r="B287" s="38"/>
      <c r="C287" s="38"/>
      <c r="D287" s="38"/>
      <c r="E287" s="38"/>
      <c r="F287" s="38"/>
      <c r="G287" s="38"/>
      <c r="H287" s="38"/>
    </row>
    <row r="288" spans="2:8" x14ac:dyDescent="0.35">
      <c r="B288" s="38"/>
      <c r="C288" s="38"/>
      <c r="D288" s="38"/>
      <c r="E288" s="38"/>
      <c r="F288" s="38"/>
      <c r="G288" s="38"/>
      <c r="H288" s="38"/>
    </row>
    <row r="289" spans="2:8" x14ac:dyDescent="0.35">
      <c r="B289" s="38"/>
      <c r="C289" s="38"/>
      <c r="D289" s="38"/>
      <c r="E289" s="38"/>
      <c r="F289" s="38"/>
      <c r="G289" s="38"/>
      <c r="H289" s="38"/>
    </row>
    <row r="290" spans="2:8" x14ac:dyDescent="0.35">
      <c r="B290" s="38"/>
      <c r="C290" s="38"/>
      <c r="D290" s="38"/>
      <c r="E290" s="38"/>
      <c r="F290" s="38"/>
      <c r="G290" s="38"/>
      <c r="H290" s="38"/>
    </row>
    <row r="291" spans="2:8" x14ac:dyDescent="0.35">
      <c r="B291" s="38"/>
      <c r="C291" s="38"/>
      <c r="D291" s="38"/>
      <c r="E291" s="38"/>
      <c r="F291" s="38"/>
      <c r="G291" s="38"/>
      <c r="H291" s="38"/>
    </row>
    <row r="292" spans="2:8" x14ac:dyDescent="0.35">
      <c r="B292" s="38"/>
      <c r="C292" s="38"/>
      <c r="D292" s="38"/>
      <c r="E292" s="38"/>
      <c r="F292" s="38"/>
      <c r="G292" s="38"/>
      <c r="H292" s="38"/>
    </row>
    <row r="293" spans="2:8" x14ac:dyDescent="0.35">
      <c r="B293" s="38"/>
      <c r="C293" s="38"/>
      <c r="D293" s="38"/>
      <c r="E293" s="38"/>
      <c r="F293" s="38"/>
      <c r="G293" s="38"/>
      <c r="H293" s="38"/>
    </row>
    <row r="294" spans="2:8" x14ac:dyDescent="0.35">
      <c r="B294" s="38"/>
      <c r="C294" s="38"/>
      <c r="D294" s="38"/>
      <c r="E294" s="38"/>
      <c r="F294" s="38"/>
      <c r="G294" s="38"/>
      <c r="H294" s="38"/>
    </row>
    <row r="295" spans="2:8" x14ac:dyDescent="0.35">
      <c r="B295" s="38"/>
      <c r="C295" s="38"/>
      <c r="D295" s="38"/>
      <c r="E295" s="38"/>
      <c r="F295" s="38"/>
      <c r="G295" s="38"/>
      <c r="H295" s="38"/>
    </row>
    <row r="296" spans="2:8" x14ac:dyDescent="0.35">
      <c r="B296" s="38"/>
      <c r="C296" s="38"/>
      <c r="D296" s="38"/>
      <c r="E296" s="38"/>
      <c r="F296" s="38"/>
      <c r="G296" s="38"/>
      <c r="H296" s="38"/>
    </row>
    <row r="297" spans="2:8" x14ac:dyDescent="0.35">
      <c r="B297" s="38"/>
      <c r="C297" s="38"/>
      <c r="D297" s="38"/>
      <c r="E297" s="38"/>
      <c r="F297" s="38"/>
      <c r="G297" s="38"/>
      <c r="H297" s="38"/>
    </row>
    <row r="298" spans="2:8" x14ac:dyDescent="0.35">
      <c r="B298" s="38"/>
      <c r="C298" s="38"/>
      <c r="D298" s="38"/>
      <c r="E298" s="38"/>
      <c r="F298" s="38"/>
      <c r="G298" s="38"/>
      <c r="H298" s="38"/>
    </row>
    <row r="299" spans="2:8" x14ac:dyDescent="0.35">
      <c r="B299" s="38"/>
      <c r="C299" s="38"/>
      <c r="D299" s="38"/>
      <c r="E299" s="38"/>
      <c r="F299" s="38"/>
      <c r="G299" s="38"/>
      <c r="H299" s="38"/>
    </row>
    <row r="300" spans="2:8" x14ac:dyDescent="0.35">
      <c r="B300" s="38"/>
      <c r="C300" s="38"/>
      <c r="D300" s="38"/>
      <c r="E300" s="38"/>
      <c r="F300" s="38"/>
      <c r="G300" s="38"/>
      <c r="H300" s="38"/>
    </row>
    <row r="301" spans="2:8" x14ac:dyDescent="0.35">
      <c r="B301" s="38"/>
      <c r="C301" s="38"/>
      <c r="D301" s="38"/>
      <c r="E301" s="38"/>
      <c r="F301" s="38"/>
      <c r="G301" s="38"/>
      <c r="H301" s="38"/>
    </row>
    <row r="302" spans="2:8" x14ac:dyDescent="0.35">
      <c r="B302" s="38"/>
      <c r="C302" s="38"/>
      <c r="D302" s="38"/>
      <c r="E302" s="38"/>
      <c r="F302" s="38"/>
      <c r="G302" s="38"/>
      <c r="H302" s="38"/>
    </row>
    <row r="303" spans="2:8" x14ac:dyDescent="0.35">
      <c r="B303" s="38"/>
      <c r="C303" s="38"/>
      <c r="D303" s="38"/>
      <c r="E303" s="38"/>
      <c r="F303" s="38"/>
      <c r="G303" s="38"/>
      <c r="H303" s="38"/>
    </row>
    <row r="304" spans="2:8" x14ac:dyDescent="0.35">
      <c r="B304" s="38"/>
      <c r="C304" s="38"/>
      <c r="D304" s="38"/>
      <c r="E304" s="38"/>
      <c r="F304" s="38"/>
      <c r="G304" s="38"/>
      <c r="H304" s="38"/>
    </row>
    <row r="305" spans="2:8" x14ac:dyDescent="0.35">
      <c r="B305" s="38"/>
      <c r="C305" s="38"/>
      <c r="D305" s="38"/>
      <c r="E305" s="38"/>
      <c r="F305" s="38"/>
      <c r="G305" s="38"/>
      <c r="H305" s="38"/>
    </row>
    <row r="306" spans="2:8" x14ac:dyDescent="0.35">
      <c r="B306" s="38"/>
      <c r="C306" s="38"/>
      <c r="D306" s="38"/>
      <c r="E306" s="38"/>
      <c r="F306" s="38"/>
      <c r="G306" s="38"/>
      <c r="H306" s="38"/>
    </row>
    <row r="307" spans="2:8" x14ac:dyDescent="0.35">
      <c r="B307" s="38"/>
      <c r="C307" s="38"/>
      <c r="D307" s="38"/>
      <c r="E307" s="38"/>
      <c r="F307" s="38"/>
      <c r="G307" s="38"/>
      <c r="H307" s="38"/>
    </row>
    <row r="308" spans="2:8" x14ac:dyDescent="0.35">
      <c r="B308" s="38"/>
      <c r="C308" s="38"/>
      <c r="D308" s="38"/>
      <c r="E308" s="38"/>
      <c r="F308" s="38"/>
      <c r="G308" s="38"/>
      <c r="H308" s="38"/>
    </row>
    <row r="309" spans="2:8" x14ac:dyDescent="0.35">
      <c r="B309" s="38"/>
      <c r="C309" s="38"/>
      <c r="D309" s="38"/>
      <c r="E309" s="38"/>
      <c r="F309" s="38"/>
      <c r="G309" s="38"/>
      <c r="H309" s="38"/>
    </row>
    <row r="310" spans="2:8" x14ac:dyDescent="0.35">
      <c r="B310" s="38"/>
      <c r="C310" s="38"/>
      <c r="D310" s="38"/>
      <c r="E310" s="38"/>
      <c r="F310" s="38"/>
      <c r="G310" s="38"/>
      <c r="H310" s="38"/>
    </row>
    <row r="311" spans="2:8" x14ac:dyDescent="0.35">
      <c r="B311" s="38"/>
      <c r="C311" s="38"/>
      <c r="D311" s="38"/>
      <c r="E311" s="38"/>
      <c r="F311" s="38"/>
      <c r="G311" s="38"/>
      <c r="H311" s="38"/>
    </row>
    <row r="312" spans="2:8" x14ac:dyDescent="0.35">
      <c r="B312" s="38"/>
      <c r="C312" s="38"/>
      <c r="D312" s="38"/>
      <c r="E312" s="38"/>
      <c r="F312" s="38"/>
      <c r="G312" s="38"/>
      <c r="H312" s="38"/>
    </row>
    <row r="313" spans="2:8" x14ac:dyDescent="0.35">
      <c r="B313" s="38"/>
      <c r="C313" s="38"/>
      <c r="D313" s="38"/>
      <c r="E313" s="38"/>
      <c r="F313" s="38"/>
      <c r="G313" s="38"/>
      <c r="H313" s="38"/>
    </row>
    <row r="314" spans="2:8" x14ac:dyDescent="0.35">
      <c r="B314" s="38"/>
      <c r="C314" s="38"/>
      <c r="D314" s="38"/>
      <c r="E314" s="38"/>
      <c r="F314" s="38"/>
      <c r="G314" s="38"/>
      <c r="H314" s="38"/>
    </row>
    <row r="315" spans="2:8" x14ac:dyDescent="0.35">
      <c r="B315" s="38"/>
      <c r="C315" s="38"/>
      <c r="D315" s="38"/>
      <c r="E315" s="38"/>
      <c r="F315" s="38"/>
      <c r="G315" s="38"/>
      <c r="H315" s="38"/>
    </row>
    <row r="316" spans="2:8" x14ac:dyDescent="0.35">
      <c r="B316" s="38"/>
      <c r="C316" s="38"/>
      <c r="D316" s="38"/>
      <c r="E316" s="38"/>
      <c r="F316" s="38"/>
      <c r="G316" s="38"/>
      <c r="H316" s="38"/>
    </row>
    <row r="317" spans="2:8" x14ac:dyDescent="0.35">
      <c r="B317" s="38"/>
      <c r="C317" s="38"/>
      <c r="D317" s="38"/>
      <c r="E317" s="38"/>
      <c r="F317" s="38"/>
      <c r="G317" s="38"/>
      <c r="H317" s="38"/>
    </row>
    <row r="318" spans="2:8" x14ac:dyDescent="0.35">
      <c r="B318" s="38"/>
      <c r="C318" s="38"/>
      <c r="D318" s="38"/>
      <c r="E318" s="38"/>
      <c r="F318" s="38"/>
      <c r="G318" s="38"/>
      <c r="H318" s="38"/>
    </row>
    <row r="319" spans="2:8" x14ac:dyDescent="0.35">
      <c r="B319" s="38"/>
      <c r="C319" s="38"/>
      <c r="D319" s="38"/>
      <c r="E319" s="38"/>
      <c r="F319" s="38"/>
      <c r="G319" s="38"/>
      <c r="H319" s="38"/>
    </row>
    <row r="320" spans="2:8" x14ac:dyDescent="0.35">
      <c r="B320" s="38"/>
      <c r="C320" s="38"/>
      <c r="D320" s="38"/>
      <c r="E320" s="38"/>
      <c r="F320" s="38"/>
      <c r="G320" s="38"/>
      <c r="H320" s="38"/>
    </row>
    <row r="321" spans="2:8" x14ac:dyDescent="0.35">
      <c r="B321" s="38"/>
      <c r="C321" s="38"/>
      <c r="D321" s="38"/>
      <c r="E321" s="38"/>
      <c r="F321" s="38"/>
      <c r="G321" s="38"/>
      <c r="H321" s="38"/>
    </row>
    <row r="322" spans="2:8" x14ac:dyDescent="0.35">
      <c r="B322" s="38"/>
      <c r="C322" s="38"/>
      <c r="D322" s="38"/>
      <c r="E322" s="38"/>
      <c r="F322" s="38"/>
      <c r="G322" s="38"/>
      <c r="H322" s="38"/>
    </row>
    <row r="323" spans="2:8" x14ac:dyDescent="0.35">
      <c r="B323" s="38"/>
      <c r="C323" s="38"/>
      <c r="D323" s="38"/>
      <c r="E323" s="38"/>
      <c r="F323" s="38"/>
      <c r="G323" s="38"/>
      <c r="H323" s="38"/>
    </row>
    <row r="324" spans="2:8" x14ac:dyDescent="0.35">
      <c r="B324" s="38"/>
      <c r="C324" s="38"/>
      <c r="D324" s="38"/>
      <c r="E324" s="38"/>
      <c r="F324" s="38"/>
      <c r="G324" s="38"/>
      <c r="H324" s="38"/>
    </row>
    <row r="325" spans="2:8" x14ac:dyDescent="0.35">
      <c r="B325" s="38"/>
      <c r="C325" s="38"/>
      <c r="D325" s="38"/>
      <c r="E325" s="38"/>
      <c r="F325" s="38"/>
      <c r="G325" s="38"/>
      <c r="H325" s="38"/>
    </row>
    <row r="326" spans="2:8" x14ac:dyDescent="0.35">
      <c r="B326" s="38"/>
      <c r="C326" s="38"/>
      <c r="D326" s="38"/>
      <c r="E326" s="38"/>
      <c r="F326" s="38"/>
      <c r="G326" s="38"/>
      <c r="H326" s="38"/>
    </row>
    <row r="327" spans="2:8" x14ac:dyDescent="0.35">
      <c r="B327" s="38"/>
      <c r="C327" s="38"/>
      <c r="D327" s="38"/>
      <c r="E327" s="38"/>
      <c r="F327" s="38"/>
      <c r="G327" s="38"/>
      <c r="H327" s="38"/>
    </row>
    <row r="328" spans="2:8" x14ac:dyDescent="0.35">
      <c r="B328" s="38"/>
      <c r="C328" s="38"/>
      <c r="D328" s="38"/>
      <c r="E328" s="38"/>
      <c r="F328" s="38"/>
      <c r="G328" s="38"/>
      <c r="H328" s="38"/>
    </row>
    <row r="329" spans="2:8" x14ac:dyDescent="0.35">
      <c r="B329" s="38"/>
      <c r="C329" s="38"/>
      <c r="D329" s="38"/>
      <c r="E329" s="38"/>
      <c r="F329" s="38"/>
      <c r="G329" s="38"/>
      <c r="H329" s="38"/>
    </row>
    <row r="330" spans="2:8" x14ac:dyDescent="0.35">
      <c r="B330" s="38"/>
      <c r="C330" s="38"/>
      <c r="D330" s="38"/>
      <c r="E330" s="38"/>
      <c r="F330" s="38"/>
      <c r="G330" s="38"/>
      <c r="H330" s="38"/>
    </row>
    <row r="331" spans="2:8" x14ac:dyDescent="0.35">
      <c r="B331" s="38"/>
      <c r="C331" s="38"/>
      <c r="D331" s="38"/>
      <c r="E331" s="38"/>
      <c r="F331" s="38"/>
      <c r="G331" s="38"/>
      <c r="H331" s="38"/>
    </row>
    <row r="332" spans="2:8" x14ac:dyDescent="0.35">
      <c r="B332" s="38"/>
      <c r="C332" s="38"/>
      <c r="D332" s="38"/>
      <c r="E332" s="38"/>
      <c r="F332" s="38"/>
      <c r="G332" s="38"/>
      <c r="H332" s="38"/>
    </row>
    <row r="333" spans="2:8" x14ac:dyDescent="0.35">
      <c r="B333" s="38"/>
      <c r="C333" s="38"/>
      <c r="D333" s="38"/>
      <c r="E333" s="38"/>
      <c r="F333" s="38"/>
      <c r="G333" s="38"/>
      <c r="H333" s="38"/>
    </row>
    <row r="334" spans="2:8" x14ac:dyDescent="0.35">
      <c r="B334" s="38"/>
      <c r="C334" s="38"/>
      <c r="D334" s="38"/>
      <c r="E334" s="38"/>
      <c r="F334" s="38"/>
      <c r="G334" s="38"/>
      <c r="H334" s="38"/>
    </row>
    <row r="335" spans="2:8" x14ac:dyDescent="0.35">
      <c r="B335" s="38"/>
      <c r="C335" s="38"/>
      <c r="D335" s="38"/>
      <c r="E335" s="38"/>
      <c r="F335" s="38"/>
      <c r="G335" s="38"/>
      <c r="H335" s="38"/>
    </row>
    <row r="336" spans="2:8" x14ac:dyDescent="0.35">
      <c r="B336" s="38"/>
      <c r="C336" s="38"/>
      <c r="D336" s="38"/>
      <c r="E336" s="38"/>
      <c r="F336" s="38"/>
      <c r="G336" s="38"/>
      <c r="H336" s="38"/>
    </row>
    <row r="337" spans="2:8" x14ac:dyDescent="0.35">
      <c r="B337" s="38"/>
      <c r="C337" s="38"/>
      <c r="D337" s="38"/>
      <c r="E337" s="38"/>
      <c r="F337" s="38"/>
      <c r="G337" s="38"/>
      <c r="H337" s="38"/>
    </row>
    <row r="338" spans="2:8" x14ac:dyDescent="0.35">
      <c r="B338" s="38"/>
      <c r="C338" s="38"/>
      <c r="D338" s="38"/>
      <c r="E338" s="38"/>
      <c r="F338" s="38"/>
      <c r="G338" s="38"/>
      <c r="H338" s="38"/>
    </row>
    <row r="339" spans="2:8" x14ac:dyDescent="0.35">
      <c r="B339" s="38"/>
      <c r="C339" s="38"/>
      <c r="D339" s="38"/>
      <c r="E339" s="38"/>
      <c r="F339" s="38"/>
      <c r="G339" s="38"/>
      <c r="H339" s="38"/>
    </row>
    <row r="340" spans="2:8" x14ac:dyDescent="0.35">
      <c r="B340" s="38"/>
      <c r="C340" s="38"/>
      <c r="D340" s="38"/>
      <c r="E340" s="38"/>
      <c r="F340" s="38"/>
      <c r="G340" s="38"/>
      <c r="H340" s="38"/>
    </row>
    <row r="341" spans="2:8" x14ac:dyDescent="0.35">
      <c r="B341" s="38"/>
      <c r="C341" s="38"/>
      <c r="D341" s="38"/>
      <c r="E341" s="38"/>
      <c r="F341" s="38"/>
      <c r="G341" s="38"/>
      <c r="H341" s="38"/>
    </row>
    <row r="342" spans="2:8" x14ac:dyDescent="0.35">
      <c r="B342" s="38"/>
      <c r="C342" s="38"/>
      <c r="D342" s="38"/>
      <c r="E342" s="38"/>
      <c r="F342" s="38"/>
      <c r="G342" s="38"/>
      <c r="H342" s="38"/>
    </row>
    <row r="343" spans="2:8" x14ac:dyDescent="0.35">
      <c r="B343" s="38"/>
      <c r="C343" s="38"/>
      <c r="D343" s="38"/>
      <c r="E343" s="38"/>
      <c r="F343" s="38"/>
      <c r="G343" s="38"/>
      <c r="H343" s="38"/>
    </row>
    <row r="344" spans="2:8" x14ac:dyDescent="0.35">
      <c r="B344" s="38"/>
      <c r="C344" s="38"/>
      <c r="D344" s="38"/>
      <c r="E344" s="38"/>
      <c r="F344" s="38"/>
      <c r="G344" s="38"/>
      <c r="H344" s="38"/>
    </row>
    <row r="345" spans="2:8" x14ac:dyDescent="0.35">
      <c r="B345" s="38"/>
      <c r="C345" s="38"/>
      <c r="D345" s="38"/>
      <c r="E345" s="38"/>
      <c r="F345" s="38"/>
      <c r="G345" s="38"/>
      <c r="H345" s="38"/>
    </row>
    <row r="346" spans="2:8" x14ac:dyDescent="0.35">
      <c r="B346" s="38"/>
      <c r="C346" s="38"/>
      <c r="D346" s="38"/>
      <c r="E346" s="38"/>
      <c r="F346" s="38"/>
      <c r="G346" s="38"/>
      <c r="H346" s="38"/>
    </row>
    <row r="347" spans="2:8" x14ac:dyDescent="0.35">
      <c r="B347" s="38"/>
      <c r="C347" s="38"/>
      <c r="D347" s="38"/>
      <c r="E347" s="38"/>
      <c r="F347" s="38"/>
      <c r="G347" s="38"/>
      <c r="H347" s="38"/>
    </row>
    <row r="348" spans="2:8" x14ac:dyDescent="0.35">
      <c r="B348" s="38"/>
      <c r="C348" s="38"/>
      <c r="D348" s="38"/>
      <c r="E348" s="38"/>
      <c r="F348" s="38"/>
      <c r="G348" s="38"/>
      <c r="H348" s="38"/>
    </row>
    <row r="349" spans="2:8" x14ac:dyDescent="0.35">
      <c r="B349" s="38"/>
      <c r="C349" s="38"/>
      <c r="D349" s="38"/>
      <c r="E349" s="38"/>
      <c r="F349" s="38"/>
      <c r="G349" s="38"/>
      <c r="H349" s="38"/>
    </row>
    <row r="350" spans="2:8" x14ac:dyDescent="0.35">
      <c r="B350" s="38"/>
      <c r="C350" s="38"/>
      <c r="D350" s="38"/>
      <c r="E350" s="38"/>
      <c r="F350" s="38"/>
      <c r="G350" s="38"/>
      <c r="H350" s="38"/>
    </row>
    <row r="351" spans="2:8" x14ac:dyDescent="0.35">
      <c r="B351" s="38"/>
      <c r="C351" s="38"/>
      <c r="D351" s="38"/>
      <c r="E351" s="38"/>
      <c r="F351" s="38"/>
      <c r="G351" s="38"/>
      <c r="H351" s="38"/>
    </row>
    <row r="352" spans="2:8" x14ac:dyDescent="0.35">
      <c r="B352" s="38"/>
      <c r="C352" s="38"/>
      <c r="D352" s="38"/>
      <c r="E352" s="38"/>
      <c r="F352" s="38"/>
      <c r="G352" s="38"/>
      <c r="H352" s="38"/>
    </row>
    <row r="353" spans="2:8" x14ac:dyDescent="0.35">
      <c r="B353" s="38"/>
      <c r="C353" s="38"/>
      <c r="D353" s="38"/>
      <c r="E353" s="38"/>
      <c r="F353" s="38"/>
      <c r="G353" s="38"/>
      <c r="H353" s="38"/>
    </row>
    <row r="354" spans="2:8" x14ac:dyDescent="0.35">
      <c r="B354" s="38"/>
      <c r="C354" s="38"/>
      <c r="D354" s="38"/>
      <c r="E354" s="38"/>
      <c r="F354" s="38"/>
      <c r="G354" s="38"/>
      <c r="H354" s="38"/>
    </row>
    <row r="355" spans="2:8" x14ac:dyDescent="0.35">
      <c r="B355" s="38"/>
      <c r="C355" s="38"/>
      <c r="D355" s="38"/>
      <c r="E355" s="38"/>
      <c r="F355" s="38"/>
      <c r="G355" s="38"/>
      <c r="H355" s="38"/>
    </row>
    <row r="356" spans="2:8" x14ac:dyDescent="0.35">
      <c r="B356" s="38"/>
      <c r="C356" s="38"/>
      <c r="D356" s="38"/>
      <c r="E356" s="38"/>
      <c r="F356" s="38"/>
      <c r="G356" s="38"/>
      <c r="H356" s="38"/>
    </row>
    <row r="357" spans="2:8" x14ac:dyDescent="0.35">
      <c r="B357" s="38"/>
      <c r="C357" s="38"/>
      <c r="D357" s="38"/>
      <c r="E357" s="38"/>
      <c r="F357" s="38"/>
      <c r="G357" s="38"/>
      <c r="H357" s="38"/>
    </row>
    <row r="358" spans="2:8" x14ac:dyDescent="0.35">
      <c r="B358" s="38"/>
      <c r="C358" s="38"/>
      <c r="D358" s="38"/>
      <c r="E358" s="38"/>
      <c r="F358" s="38"/>
      <c r="G358" s="38"/>
      <c r="H358" s="38"/>
    </row>
    <row r="359" spans="2:8" x14ac:dyDescent="0.35">
      <c r="B359" s="38"/>
      <c r="C359" s="38"/>
      <c r="D359" s="38"/>
      <c r="E359" s="38"/>
      <c r="F359" s="38"/>
      <c r="G359" s="38"/>
      <c r="H359" s="38"/>
    </row>
    <row r="360" spans="2:8" x14ac:dyDescent="0.35">
      <c r="B360" s="38"/>
      <c r="C360" s="38"/>
      <c r="D360" s="38"/>
      <c r="E360" s="38"/>
      <c r="F360" s="38"/>
      <c r="G360" s="38"/>
      <c r="H360" s="38"/>
    </row>
    <row r="361" spans="2:8" x14ac:dyDescent="0.35">
      <c r="B361" s="38"/>
      <c r="C361" s="38"/>
      <c r="D361" s="38"/>
      <c r="E361" s="38"/>
      <c r="F361" s="38"/>
      <c r="G361" s="38"/>
      <c r="H361" s="38"/>
    </row>
    <row r="362" spans="2:8" x14ac:dyDescent="0.35">
      <c r="B362" s="38"/>
      <c r="C362" s="38"/>
      <c r="D362" s="38"/>
      <c r="E362" s="38"/>
      <c r="F362" s="38"/>
      <c r="G362" s="38"/>
      <c r="H362" s="38"/>
    </row>
    <row r="363" spans="2:8" x14ac:dyDescent="0.35">
      <c r="B363" s="38"/>
      <c r="C363" s="38"/>
      <c r="D363" s="38"/>
      <c r="E363" s="38"/>
      <c r="F363" s="38"/>
      <c r="G363" s="38"/>
      <c r="H363" s="38"/>
    </row>
    <row r="364" spans="2:8" x14ac:dyDescent="0.35">
      <c r="B364" s="38"/>
      <c r="C364" s="38"/>
      <c r="D364" s="38"/>
      <c r="E364" s="38"/>
      <c r="F364" s="38"/>
      <c r="G364" s="38"/>
      <c r="H364" s="38"/>
    </row>
    <row r="365" spans="2:8" x14ac:dyDescent="0.35">
      <c r="B365" s="38"/>
      <c r="C365" s="38"/>
      <c r="D365" s="38"/>
      <c r="E365" s="38"/>
      <c r="F365" s="38"/>
      <c r="G365" s="38"/>
      <c r="H365" s="38"/>
    </row>
    <row r="366" spans="2:8" x14ac:dyDescent="0.35">
      <c r="B366" s="38"/>
      <c r="C366" s="38"/>
      <c r="D366" s="38"/>
      <c r="E366" s="38"/>
      <c r="F366" s="38"/>
      <c r="G366" s="38"/>
      <c r="H366" s="38"/>
    </row>
    <row r="367" spans="2:8" x14ac:dyDescent="0.35">
      <c r="B367" s="38"/>
      <c r="C367" s="38"/>
      <c r="D367" s="38"/>
      <c r="E367" s="38"/>
      <c r="F367" s="38"/>
      <c r="G367" s="38"/>
      <c r="H367" s="38"/>
    </row>
    <row r="368" spans="2:8" x14ac:dyDescent="0.35">
      <c r="B368" s="38"/>
      <c r="C368" s="38"/>
      <c r="D368" s="38"/>
      <c r="E368" s="38"/>
      <c r="F368" s="38"/>
      <c r="G368" s="38"/>
      <c r="H368" s="38"/>
    </row>
    <row r="369" spans="2:8" x14ac:dyDescent="0.35">
      <c r="B369" s="38"/>
      <c r="C369" s="38"/>
      <c r="D369" s="38"/>
      <c r="E369" s="38"/>
      <c r="F369" s="38"/>
      <c r="G369" s="38"/>
      <c r="H369" s="38"/>
    </row>
    <row r="370" spans="2:8" x14ac:dyDescent="0.35">
      <c r="B370" s="38"/>
      <c r="C370" s="38"/>
      <c r="D370" s="38"/>
      <c r="E370" s="38"/>
      <c r="F370" s="38"/>
      <c r="G370" s="38"/>
      <c r="H370" s="38"/>
    </row>
    <row r="371" spans="2:8" x14ac:dyDescent="0.35">
      <c r="B371" s="38"/>
      <c r="C371" s="38"/>
      <c r="D371" s="38"/>
      <c r="E371" s="38"/>
      <c r="F371" s="38"/>
      <c r="G371" s="38"/>
      <c r="H371" s="38"/>
    </row>
    <row r="372" spans="2:8" x14ac:dyDescent="0.35">
      <c r="B372" s="38"/>
      <c r="C372" s="38"/>
      <c r="D372" s="38"/>
      <c r="E372" s="38"/>
      <c r="F372" s="38"/>
      <c r="G372" s="38"/>
      <c r="H372" s="38"/>
    </row>
    <row r="373" spans="2:8" x14ac:dyDescent="0.35">
      <c r="B373" s="38"/>
      <c r="C373" s="38"/>
      <c r="D373" s="38"/>
      <c r="E373" s="38"/>
      <c r="F373" s="38"/>
      <c r="G373" s="38"/>
      <c r="H373" s="38"/>
    </row>
    <row r="374" spans="2:8" x14ac:dyDescent="0.35">
      <c r="B374" s="38"/>
      <c r="C374" s="38"/>
      <c r="D374" s="38"/>
      <c r="E374" s="38"/>
      <c r="F374" s="38"/>
      <c r="G374" s="38"/>
      <c r="H374" s="38"/>
    </row>
    <row r="375" spans="2:8" x14ac:dyDescent="0.35">
      <c r="B375" s="38"/>
      <c r="C375" s="38"/>
      <c r="D375" s="38"/>
      <c r="E375" s="38"/>
      <c r="F375" s="38"/>
      <c r="G375" s="38"/>
      <c r="H375" s="38"/>
    </row>
    <row r="376" spans="2:8" x14ac:dyDescent="0.35">
      <c r="B376" s="38"/>
      <c r="C376" s="38"/>
      <c r="D376" s="38"/>
      <c r="E376" s="38"/>
      <c r="F376" s="38"/>
      <c r="G376" s="38"/>
      <c r="H376" s="38"/>
    </row>
    <row r="377" spans="2:8" x14ac:dyDescent="0.35">
      <c r="B377" s="38"/>
      <c r="C377" s="38"/>
      <c r="D377" s="38"/>
      <c r="E377" s="38"/>
      <c r="F377" s="38"/>
      <c r="G377" s="38"/>
      <c r="H377" s="38"/>
    </row>
    <row r="378" spans="2:8" x14ac:dyDescent="0.35">
      <c r="B378" s="38"/>
      <c r="C378" s="38"/>
      <c r="D378" s="38"/>
      <c r="E378" s="38"/>
      <c r="F378" s="38"/>
      <c r="G378" s="38"/>
      <c r="H378" s="38"/>
    </row>
    <row r="379" spans="2:8" x14ac:dyDescent="0.35">
      <c r="B379" s="38"/>
      <c r="C379" s="38"/>
      <c r="D379" s="38"/>
      <c r="E379" s="38"/>
      <c r="F379" s="38"/>
      <c r="G379" s="38"/>
      <c r="H379" s="38"/>
    </row>
    <row r="380" spans="2:8" x14ac:dyDescent="0.35">
      <c r="B380" s="38"/>
      <c r="C380" s="38"/>
      <c r="D380" s="38"/>
      <c r="E380" s="38"/>
      <c r="F380" s="38"/>
      <c r="G380" s="38"/>
      <c r="H380" s="38"/>
    </row>
    <row r="381" spans="2:8" x14ac:dyDescent="0.35">
      <c r="B381" s="38"/>
      <c r="C381" s="38"/>
      <c r="D381" s="38"/>
      <c r="E381" s="38"/>
      <c r="F381" s="38"/>
      <c r="G381" s="38"/>
      <c r="H381" s="38"/>
    </row>
    <row r="382" spans="2:8" x14ac:dyDescent="0.35">
      <c r="B382" s="38"/>
      <c r="C382" s="38"/>
      <c r="D382" s="38"/>
      <c r="E382" s="38"/>
      <c r="F382" s="38"/>
      <c r="G382" s="38"/>
      <c r="H382" s="38"/>
    </row>
    <row r="383" spans="2:8" x14ac:dyDescent="0.35">
      <c r="B383" s="38"/>
      <c r="C383" s="38"/>
      <c r="D383" s="38"/>
      <c r="E383" s="38"/>
      <c r="F383" s="38"/>
      <c r="G383" s="38"/>
      <c r="H383" s="38"/>
    </row>
    <row r="384" spans="2:8" x14ac:dyDescent="0.35">
      <c r="B384" s="38"/>
      <c r="C384" s="38"/>
      <c r="D384" s="38"/>
      <c r="E384" s="38"/>
      <c r="F384" s="38"/>
      <c r="G384" s="38"/>
      <c r="H384" s="38"/>
    </row>
    <row r="385" spans="2:8" x14ac:dyDescent="0.35">
      <c r="B385" s="38"/>
      <c r="C385" s="38"/>
      <c r="D385" s="38"/>
      <c r="E385" s="38"/>
      <c r="F385" s="38"/>
      <c r="G385" s="38"/>
      <c r="H385" s="38"/>
    </row>
    <row r="386" spans="2:8" x14ac:dyDescent="0.35">
      <c r="B386" s="38"/>
      <c r="C386" s="38"/>
      <c r="D386" s="38"/>
      <c r="E386" s="38"/>
      <c r="F386" s="38"/>
      <c r="G386" s="38"/>
      <c r="H386" s="38"/>
    </row>
    <row r="387" spans="2:8" x14ac:dyDescent="0.35">
      <c r="B387" s="38"/>
      <c r="C387" s="38"/>
      <c r="D387" s="38"/>
      <c r="E387" s="38"/>
      <c r="F387" s="38"/>
      <c r="G387" s="38"/>
      <c r="H387" s="38"/>
    </row>
    <row r="388" spans="2:8" x14ac:dyDescent="0.35">
      <c r="B388" s="38"/>
      <c r="C388" s="38"/>
      <c r="D388" s="38"/>
      <c r="E388" s="38"/>
      <c r="F388" s="38"/>
      <c r="G388" s="38"/>
      <c r="H388" s="38"/>
    </row>
    <row r="389" spans="2:8" x14ac:dyDescent="0.35">
      <c r="B389" s="38"/>
      <c r="C389" s="38"/>
      <c r="D389" s="38"/>
      <c r="E389" s="38"/>
      <c r="F389" s="38"/>
      <c r="G389" s="38"/>
      <c r="H389" s="38"/>
    </row>
    <row r="390" spans="2:8" x14ac:dyDescent="0.35">
      <c r="B390" s="38"/>
      <c r="C390" s="38"/>
      <c r="D390" s="38"/>
      <c r="E390" s="38"/>
      <c r="F390" s="38"/>
      <c r="G390" s="38"/>
      <c r="H390" s="38"/>
    </row>
    <row r="391" spans="2:8" x14ac:dyDescent="0.35">
      <c r="B391" s="38"/>
      <c r="C391" s="38"/>
      <c r="D391" s="38"/>
      <c r="E391" s="38"/>
      <c r="F391" s="38"/>
      <c r="G391" s="38"/>
      <c r="H391" s="38"/>
    </row>
    <row r="392" spans="2:8" x14ac:dyDescent="0.35">
      <c r="B392" s="38"/>
      <c r="C392" s="38"/>
      <c r="D392" s="38"/>
      <c r="E392" s="38"/>
      <c r="F392" s="38"/>
      <c r="G392" s="38"/>
      <c r="H392" s="38"/>
    </row>
    <row r="393" spans="2:8" x14ac:dyDescent="0.35">
      <c r="B393" s="38"/>
      <c r="C393" s="38"/>
      <c r="D393" s="38"/>
      <c r="E393" s="38"/>
      <c r="F393" s="38"/>
      <c r="G393" s="38"/>
      <c r="H393" s="38"/>
    </row>
    <row r="394" spans="2:8" x14ac:dyDescent="0.35">
      <c r="B394" s="38"/>
      <c r="C394" s="38"/>
      <c r="D394" s="38"/>
      <c r="E394" s="38"/>
      <c r="F394" s="38"/>
      <c r="G394" s="38"/>
      <c r="H394" s="38"/>
    </row>
    <row r="395" spans="2:8" x14ac:dyDescent="0.35">
      <c r="B395" s="38"/>
      <c r="C395" s="38"/>
      <c r="D395" s="38"/>
      <c r="E395" s="38"/>
      <c r="F395" s="38"/>
      <c r="G395" s="38"/>
      <c r="H395" s="38"/>
    </row>
    <row r="396" spans="2:8" x14ac:dyDescent="0.35">
      <c r="B396" s="38"/>
      <c r="C396" s="38"/>
      <c r="D396" s="38"/>
      <c r="E396" s="38"/>
      <c r="F396" s="38"/>
      <c r="G396" s="38"/>
      <c r="H396" s="38"/>
    </row>
    <row r="397" spans="2:8" x14ac:dyDescent="0.35">
      <c r="B397" s="38"/>
      <c r="C397" s="38"/>
      <c r="D397" s="38"/>
      <c r="E397" s="38"/>
      <c r="F397" s="38"/>
      <c r="G397" s="38"/>
      <c r="H397" s="38"/>
    </row>
    <row r="398" spans="2:8" x14ac:dyDescent="0.35">
      <c r="B398" s="38"/>
      <c r="C398" s="38"/>
      <c r="D398" s="38"/>
      <c r="E398" s="38"/>
      <c r="F398" s="38"/>
      <c r="G398" s="38"/>
      <c r="H398" s="38"/>
    </row>
    <row r="399" spans="2:8" x14ac:dyDescent="0.35">
      <c r="B399" s="38"/>
      <c r="C399" s="38"/>
      <c r="D399" s="38"/>
      <c r="E399" s="38"/>
      <c r="F399" s="38"/>
      <c r="G399" s="38"/>
      <c r="H399" s="38"/>
    </row>
    <row r="400" spans="2:8" x14ac:dyDescent="0.35">
      <c r="B400" s="38"/>
      <c r="C400" s="38"/>
      <c r="D400" s="38"/>
      <c r="E400" s="38"/>
      <c r="F400" s="38"/>
      <c r="G400" s="38"/>
      <c r="H400" s="38"/>
    </row>
    <row r="401" spans="2:8" x14ac:dyDescent="0.35">
      <c r="B401" s="38"/>
      <c r="C401" s="38"/>
      <c r="D401" s="38"/>
      <c r="E401" s="38"/>
      <c r="F401" s="38"/>
      <c r="G401" s="38"/>
      <c r="H401" s="38"/>
    </row>
    <row r="402" spans="2:8" x14ac:dyDescent="0.35">
      <c r="B402" s="38"/>
      <c r="C402" s="38"/>
      <c r="D402" s="38"/>
      <c r="E402" s="38"/>
      <c r="F402" s="38"/>
      <c r="G402" s="38"/>
      <c r="H402" s="38"/>
    </row>
    <row r="403" spans="2:8" x14ac:dyDescent="0.35">
      <c r="B403" s="38"/>
      <c r="C403" s="38"/>
      <c r="D403" s="38"/>
      <c r="E403" s="38"/>
      <c r="F403" s="38"/>
      <c r="G403" s="38"/>
      <c r="H403" s="38"/>
    </row>
    <row r="404" spans="2:8" x14ac:dyDescent="0.35">
      <c r="B404" s="38"/>
      <c r="C404" s="38"/>
      <c r="D404" s="38"/>
      <c r="E404" s="38"/>
      <c r="F404" s="38"/>
      <c r="G404" s="38"/>
      <c r="H404" s="38"/>
    </row>
    <row r="405" spans="2:8" x14ac:dyDescent="0.35">
      <c r="B405" s="38"/>
      <c r="C405" s="38"/>
      <c r="D405" s="38"/>
      <c r="E405" s="38"/>
      <c r="F405" s="38"/>
      <c r="G405" s="38"/>
      <c r="H405" s="38"/>
    </row>
    <row r="406" spans="2:8" x14ac:dyDescent="0.35">
      <c r="B406" s="38"/>
      <c r="C406" s="38"/>
      <c r="D406" s="38"/>
      <c r="E406" s="38"/>
      <c r="F406" s="38"/>
      <c r="G406" s="38"/>
      <c r="H406" s="38"/>
    </row>
    <row r="407" spans="2:8" x14ac:dyDescent="0.35">
      <c r="B407" s="38"/>
      <c r="C407" s="38"/>
      <c r="D407" s="38"/>
      <c r="E407" s="38"/>
      <c r="F407" s="38"/>
      <c r="G407" s="38"/>
      <c r="H407" s="38"/>
    </row>
    <row r="408" spans="2:8" x14ac:dyDescent="0.35">
      <c r="B408" s="38"/>
      <c r="C408" s="38"/>
      <c r="D408" s="38"/>
      <c r="E408" s="38"/>
      <c r="F408" s="38"/>
      <c r="G408" s="38"/>
      <c r="H408" s="38"/>
    </row>
    <row r="409" spans="2:8" x14ac:dyDescent="0.35">
      <c r="B409" s="38"/>
      <c r="C409" s="38"/>
      <c r="D409" s="38"/>
      <c r="E409" s="38"/>
      <c r="F409" s="38"/>
      <c r="G409" s="38"/>
      <c r="H409" s="38"/>
    </row>
    <row r="410" spans="2:8" x14ac:dyDescent="0.35">
      <c r="B410" s="38"/>
      <c r="C410" s="38"/>
      <c r="D410" s="38"/>
      <c r="E410" s="38"/>
      <c r="F410" s="38"/>
      <c r="G410" s="38"/>
      <c r="H410" s="38"/>
    </row>
    <row r="411" spans="2:8" x14ac:dyDescent="0.35">
      <c r="B411" s="38"/>
      <c r="C411" s="38"/>
      <c r="D411" s="38"/>
      <c r="E411" s="38"/>
      <c r="F411" s="38"/>
      <c r="G411" s="38"/>
      <c r="H411" s="38"/>
    </row>
    <row r="412" spans="2:8" x14ac:dyDescent="0.35">
      <c r="B412" s="38"/>
      <c r="C412" s="38"/>
      <c r="D412" s="38"/>
      <c r="E412" s="38"/>
      <c r="F412" s="38"/>
      <c r="G412" s="38"/>
      <c r="H412" s="38"/>
    </row>
    <row r="413" spans="2:8" x14ac:dyDescent="0.35">
      <c r="B413" s="38"/>
      <c r="C413" s="38"/>
      <c r="D413" s="38"/>
      <c r="E413" s="38"/>
      <c r="F413" s="38"/>
      <c r="G413" s="38"/>
      <c r="H413" s="38"/>
    </row>
    <row r="414" spans="2:8" x14ac:dyDescent="0.35">
      <c r="B414" s="38"/>
      <c r="C414" s="38"/>
      <c r="D414" s="38"/>
      <c r="E414" s="38"/>
      <c r="F414" s="38"/>
      <c r="G414" s="38"/>
      <c r="H414" s="38"/>
    </row>
    <row r="415" spans="2:8" x14ac:dyDescent="0.35">
      <c r="B415" s="38"/>
      <c r="C415" s="38"/>
      <c r="D415" s="38"/>
      <c r="E415" s="38"/>
      <c r="F415" s="38"/>
      <c r="G415" s="38"/>
      <c r="H415" s="38"/>
    </row>
    <row r="416" spans="2:8" x14ac:dyDescent="0.35">
      <c r="B416" s="38"/>
      <c r="C416" s="38"/>
      <c r="D416" s="38"/>
      <c r="E416" s="38"/>
      <c r="F416" s="38"/>
      <c r="G416" s="38"/>
      <c r="H416" s="38"/>
    </row>
    <row r="417" spans="2:8" x14ac:dyDescent="0.35">
      <c r="B417" s="38"/>
      <c r="C417" s="38"/>
      <c r="D417" s="38"/>
      <c r="E417" s="38"/>
      <c r="F417" s="38"/>
      <c r="G417" s="38"/>
      <c r="H417" s="38"/>
    </row>
    <row r="418" spans="2:8" x14ac:dyDescent="0.35">
      <c r="B418" s="38"/>
      <c r="C418" s="38"/>
      <c r="D418" s="38"/>
      <c r="E418" s="38"/>
      <c r="F418" s="38"/>
      <c r="G418" s="38"/>
      <c r="H418" s="38"/>
    </row>
    <row r="419" spans="2:8" x14ac:dyDescent="0.35">
      <c r="B419" s="38"/>
      <c r="C419" s="38"/>
      <c r="D419" s="38"/>
      <c r="E419" s="38"/>
      <c r="F419" s="38"/>
      <c r="G419" s="38"/>
      <c r="H419" s="38"/>
    </row>
    <row r="420" spans="2:8" x14ac:dyDescent="0.35">
      <c r="B420" s="38"/>
      <c r="C420" s="38"/>
      <c r="D420" s="38"/>
      <c r="E420" s="38"/>
      <c r="F420" s="38"/>
      <c r="G420" s="38"/>
      <c r="H420" s="38"/>
    </row>
    <row r="421" spans="2:8" x14ac:dyDescent="0.35">
      <c r="B421" s="38"/>
      <c r="C421" s="38"/>
      <c r="D421" s="38"/>
      <c r="E421" s="38"/>
      <c r="F421" s="38"/>
      <c r="G421" s="38"/>
      <c r="H421" s="38"/>
    </row>
    <row r="422" spans="2:8" x14ac:dyDescent="0.35">
      <c r="B422" s="38"/>
      <c r="C422" s="38"/>
      <c r="D422" s="38"/>
      <c r="E422" s="38"/>
      <c r="F422" s="38"/>
      <c r="G422" s="38"/>
      <c r="H422" s="38"/>
    </row>
    <row r="423" spans="2:8" x14ac:dyDescent="0.35">
      <c r="B423" s="38"/>
      <c r="C423" s="38"/>
      <c r="D423" s="38"/>
      <c r="E423" s="38"/>
      <c r="F423" s="38"/>
      <c r="G423" s="38"/>
      <c r="H423" s="38"/>
    </row>
    <row r="424" spans="2:8" x14ac:dyDescent="0.35">
      <c r="B424" s="38"/>
      <c r="C424" s="38"/>
      <c r="D424" s="38"/>
      <c r="E424" s="38"/>
      <c r="F424" s="38"/>
      <c r="G424" s="38"/>
      <c r="H424" s="38"/>
    </row>
    <row r="425" spans="2:8" x14ac:dyDescent="0.35">
      <c r="B425" s="38"/>
      <c r="C425" s="38"/>
      <c r="D425" s="38"/>
      <c r="E425" s="38"/>
      <c r="F425" s="38"/>
      <c r="G425" s="38"/>
      <c r="H425" s="38"/>
    </row>
    <row r="426" spans="2:8" x14ac:dyDescent="0.35">
      <c r="B426" s="38"/>
      <c r="C426" s="38"/>
      <c r="D426" s="38"/>
      <c r="E426" s="38"/>
      <c r="F426" s="38"/>
      <c r="G426" s="38"/>
      <c r="H426" s="38"/>
    </row>
    <row r="427" spans="2:8" x14ac:dyDescent="0.35">
      <c r="B427" s="38"/>
      <c r="C427" s="38"/>
      <c r="D427" s="38"/>
      <c r="E427" s="38"/>
      <c r="F427" s="38"/>
      <c r="G427" s="38"/>
      <c r="H427" s="38"/>
    </row>
    <row r="428" spans="2:8" x14ac:dyDescent="0.35">
      <c r="B428" s="38"/>
      <c r="C428" s="38"/>
      <c r="D428" s="38"/>
      <c r="E428" s="38"/>
      <c r="F428" s="38"/>
      <c r="G428" s="38"/>
      <c r="H428" s="38"/>
    </row>
    <row r="429" spans="2:8" x14ac:dyDescent="0.35">
      <c r="B429" s="38"/>
      <c r="C429" s="38"/>
      <c r="D429" s="38"/>
      <c r="E429" s="38"/>
      <c r="F429" s="38"/>
      <c r="G429" s="38"/>
      <c r="H429" s="38"/>
    </row>
    <row r="430" spans="2:8" x14ac:dyDescent="0.35">
      <c r="B430" s="38"/>
      <c r="C430" s="38"/>
      <c r="D430" s="38"/>
      <c r="E430" s="38"/>
      <c r="F430" s="38"/>
      <c r="G430" s="38"/>
      <c r="H430" s="38"/>
    </row>
    <row r="431" spans="2:8" x14ac:dyDescent="0.35">
      <c r="B431" s="38"/>
      <c r="C431" s="38"/>
      <c r="D431" s="38"/>
      <c r="E431" s="38"/>
      <c r="F431" s="38"/>
      <c r="G431" s="38"/>
      <c r="H431" s="38"/>
    </row>
    <row r="432" spans="2:8" x14ac:dyDescent="0.35">
      <c r="B432" s="38"/>
      <c r="C432" s="38"/>
      <c r="D432" s="38"/>
      <c r="E432" s="38"/>
      <c r="F432" s="38"/>
      <c r="G432" s="38"/>
      <c r="H432" s="38"/>
    </row>
    <row r="433" spans="2:8" x14ac:dyDescent="0.35">
      <c r="B433" s="38"/>
      <c r="C433" s="38"/>
      <c r="D433" s="38"/>
      <c r="E433" s="38"/>
      <c r="F433" s="38"/>
      <c r="G433" s="38"/>
      <c r="H433" s="38"/>
    </row>
    <row r="434" spans="2:8" x14ac:dyDescent="0.35">
      <c r="B434" s="38"/>
      <c r="C434" s="38"/>
      <c r="D434" s="38"/>
      <c r="E434" s="38"/>
      <c r="F434" s="38"/>
      <c r="G434" s="38"/>
      <c r="H434" s="38"/>
    </row>
    <row r="435" spans="2:8" x14ac:dyDescent="0.35">
      <c r="B435" s="38"/>
      <c r="C435" s="38"/>
      <c r="D435" s="38"/>
      <c r="E435" s="38"/>
      <c r="F435" s="38"/>
      <c r="G435" s="38"/>
      <c r="H435" s="38"/>
    </row>
    <row r="436" spans="2:8" x14ac:dyDescent="0.35">
      <c r="B436" s="38"/>
      <c r="C436" s="38"/>
      <c r="D436" s="38"/>
      <c r="E436" s="38"/>
      <c r="F436" s="38"/>
      <c r="G436" s="38"/>
      <c r="H436" s="38"/>
    </row>
    <row r="437" spans="2:8" x14ac:dyDescent="0.35">
      <c r="B437" s="38"/>
      <c r="C437" s="38"/>
      <c r="D437" s="38"/>
      <c r="E437" s="38"/>
      <c r="F437" s="38"/>
      <c r="G437" s="38"/>
      <c r="H437" s="38"/>
    </row>
    <row r="438" spans="2:8" x14ac:dyDescent="0.35">
      <c r="B438" s="38"/>
      <c r="C438" s="38"/>
      <c r="D438" s="38"/>
      <c r="E438" s="38"/>
      <c r="F438" s="38"/>
      <c r="G438" s="38"/>
      <c r="H438" s="38"/>
    </row>
    <row r="439" spans="2:8" x14ac:dyDescent="0.35">
      <c r="B439" s="38"/>
      <c r="C439" s="38"/>
      <c r="D439" s="38"/>
      <c r="E439" s="38"/>
      <c r="F439" s="38"/>
      <c r="G439" s="38"/>
      <c r="H439" s="38"/>
    </row>
    <row r="440" spans="2:8" x14ac:dyDescent="0.35">
      <c r="B440" s="38"/>
      <c r="C440" s="38"/>
      <c r="D440" s="38"/>
      <c r="E440" s="38"/>
      <c r="F440" s="38"/>
      <c r="G440" s="38"/>
      <c r="H440" s="38"/>
    </row>
    <row r="441" spans="2:8" x14ac:dyDescent="0.35">
      <c r="B441" s="38"/>
      <c r="C441" s="38"/>
      <c r="D441" s="38"/>
      <c r="E441" s="38"/>
      <c r="F441" s="38"/>
      <c r="G441" s="38"/>
      <c r="H441" s="38"/>
    </row>
    <row r="442" spans="2:8" x14ac:dyDescent="0.35">
      <c r="B442" s="38"/>
      <c r="C442" s="38"/>
      <c r="D442" s="38"/>
      <c r="E442" s="38"/>
      <c r="F442" s="38"/>
      <c r="G442" s="38"/>
      <c r="H442" s="38"/>
    </row>
    <row r="443" spans="2:8" x14ac:dyDescent="0.35">
      <c r="B443" s="38"/>
      <c r="C443" s="38"/>
      <c r="D443" s="38"/>
      <c r="E443" s="38"/>
      <c r="F443" s="38"/>
      <c r="G443" s="38"/>
      <c r="H443" s="38"/>
    </row>
    <row r="444" spans="2:8" x14ac:dyDescent="0.35">
      <c r="B444" s="38"/>
      <c r="C444" s="38"/>
      <c r="D444" s="38"/>
      <c r="E444" s="38"/>
      <c r="F444" s="38"/>
      <c r="G444" s="38"/>
      <c r="H444" s="38"/>
    </row>
    <row r="445" spans="2:8" x14ac:dyDescent="0.35">
      <c r="B445" s="38"/>
      <c r="C445" s="38"/>
      <c r="D445" s="38"/>
      <c r="E445" s="38"/>
      <c r="F445" s="38"/>
      <c r="G445" s="38"/>
      <c r="H445" s="38"/>
    </row>
    <row r="446" spans="2:8" x14ac:dyDescent="0.35">
      <c r="B446" s="38"/>
      <c r="C446" s="38"/>
      <c r="D446" s="38"/>
      <c r="E446" s="38"/>
      <c r="F446" s="38"/>
      <c r="G446" s="38"/>
      <c r="H446" s="38"/>
    </row>
    <row r="447" spans="2:8" x14ac:dyDescent="0.35">
      <c r="B447" s="38"/>
      <c r="C447" s="38"/>
      <c r="D447" s="38"/>
      <c r="E447" s="38"/>
      <c r="F447" s="38"/>
      <c r="G447" s="38"/>
      <c r="H447" s="38"/>
    </row>
    <row r="448" spans="2:8" x14ac:dyDescent="0.35">
      <c r="B448" s="38"/>
      <c r="C448" s="38"/>
      <c r="D448" s="38"/>
      <c r="E448" s="38"/>
      <c r="F448" s="38"/>
      <c r="G448" s="38"/>
      <c r="H448" s="38"/>
    </row>
    <row r="449" spans="2:8" x14ac:dyDescent="0.35">
      <c r="B449" s="38"/>
      <c r="C449" s="38"/>
      <c r="D449" s="38"/>
      <c r="E449" s="38"/>
      <c r="F449" s="38"/>
      <c r="G449" s="38"/>
      <c r="H449" s="38"/>
    </row>
    <row r="450" spans="2:8" x14ac:dyDescent="0.35">
      <c r="B450" s="38"/>
      <c r="C450" s="38"/>
      <c r="D450" s="38"/>
      <c r="E450" s="38"/>
      <c r="F450" s="38"/>
      <c r="G450" s="38"/>
      <c r="H450" s="38"/>
    </row>
    <row r="451" spans="2:8" x14ac:dyDescent="0.35">
      <c r="B451" s="38"/>
      <c r="C451" s="38"/>
      <c r="D451" s="38"/>
      <c r="E451" s="38"/>
      <c r="F451" s="38"/>
      <c r="G451" s="38"/>
      <c r="H451" s="38"/>
    </row>
    <row r="452" spans="2:8" x14ac:dyDescent="0.35">
      <c r="B452" s="38"/>
      <c r="C452" s="38"/>
      <c r="D452" s="38"/>
      <c r="E452" s="38"/>
      <c r="F452" s="38"/>
      <c r="G452" s="38"/>
      <c r="H452" s="38"/>
    </row>
    <row r="453" spans="2:8" x14ac:dyDescent="0.35">
      <c r="B453" s="38"/>
      <c r="C453" s="38"/>
      <c r="D453" s="38"/>
      <c r="E453" s="38"/>
      <c r="F453" s="38"/>
      <c r="G453" s="38"/>
      <c r="H453" s="38"/>
    </row>
    <row r="454" spans="2:8" x14ac:dyDescent="0.35">
      <c r="B454" s="38"/>
      <c r="C454" s="38"/>
      <c r="D454" s="38"/>
      <c r="E454" s="38"/>
      <c r="F454" s="38"/>
      <c r="G454" s="38"/>
      <c r="H454" s="38"/>
    </row>
    <row r="455" spans="2:8" x14ac:dyDescent="0.35">
      <c r="B455" s="38"/>
      <c r="C455" s="38"/>
      <c r="D455" s="38"/>
      <c r="E455" s="38"/>
      <c r="F455" s="38"/>
      <c r="G455" s="38"/>
      <c r="H455" s="38"/>
    </row>
    <row r="456" spans="2:8" x14ac:dyDescent="0.35">
      <c r="B456" s="38"/>
      <c r="C456" s="38"/>
      <c r="D456" s="38"/>
      <c r="E456" s="38"/>
      <c r="F456" s="38"/>
      <c r="G456" s="38"/>
      <c r="H456" s="38"/>
    </row>
    <row r="457" spans="2:8" x14ac:dyDescent="0.35">
      <c r="B457" s="38"/>
      <c r="C457" s="38"/>
      <c r="D457" s="38"/>
      <c r="E457" s="38"/>
      <c r="F457" s="38"/>
      <c r="G457" s="38"/>
      <c r="H457" s="38"/>
    </row>
    <row r="458" spans="2:8" x14ac:dyDescent="0.35">
      <c r="B458" s="38"/>
      <c r="C458" s="38"/>
      <c r="D458" s="38"/>
      <c r="E458" s="38"/>
      <c r="F458" s="38"/>
      <c r="G458" s="38"/>
      <c r="H458" s="38"/>
    </row>
    <row r="459" spans="2:8" x14ac:dyDescent="0.35">
      <c r="B459" s="38"/>
      <c r="C459" s="38"/>
      <c r="D459" s="38"/>
      <c r="E459" s="38"/>
      <c r="F459" s="38"/>
      <c r="G459" s="38"/>
      <c r="H459" s="38"/>
    </row>
    <row r="460" spans="2:8" x14ac:dyDescent="0.35">
      <c r="B460" s="38"/>
      <c r="C460" s="38"/>
      <c r="D460" s="38"/>
      <c r="E460" s="38"/>
      <c r="F460" s="38"/>
      <c r="G460" s="38"/>
      <c r="H460" s="38"/>
    </row>
    <row r="461" spans="2:8" x14ac:dyDescent="0.35">
      <c r="B461" s="38"/>
      <c r="C461" s="38"/>
      <c r="D461" s="38"/>
      <c r="E461" s="38"/>
      <c r="F461" s="38"/>
      <c r="G461" s="38"/>
      <c r="H461" s="38"/>
    </row>
    <row r="462" spans="2:8" x14ac:dyDescent="0.35">
      <c r="B462" s="38"/>
      <c r="C462" s="38"/>
      <c r="D462" s="38"/>
      <c r="E462" s="38"/>
      <c r="F462" s="38"/>
      <c r="G462" s="38"/>
      <c r="H462" s="38"/>
    </row>
    <row r="463" spans="2:8" x14ac:dyDescent="0.35">
      <c r="B463" s="38"/>
      <c r="C463" s="38"/>
      <c r="D463" s="38"/>
      <c r="E463" s="38"/>
      <c r="F463" s="38"/>
      <c r="G463" s="38"/>
      <c r="H463" s="38"/>
    </row>
    <row r="464" spans="2:8" x14ac:dyDescent="0.35">
      <c r="B464" s="38"/>
      <c r="C464" s="38"/>
      <c r="D464" s="38"/>
      <c r="E464" s="38"/>
      <c r="F464" s="38"/>
      <c r="G464" s="38"/>
      <c r="H464" s="38"/>
    </row>
    <row r="465" spans="2:8" x14ac:dyDescent="0.35">
      <c r="B465" s="38"/>
      <c r="C465" s="38"/>
      <c r="D465" s="38"/>
      <c r="E465" s="38"/>
      <c r="F465" s="38"/>
      <c r="G465" s="38"/>
      <c r="H465" s="38"/>
    </row>
    <row r="466" spans="2:8" x14ac:dyDescent="0.35">
      <c r="B466" s="38"/>
      <c r="C466" s="38"/>
      <c r="D466" s="38"/>
      <c r="E466" s="38"/>
      <c r="F466" s="38"/>
      <c r="G466" s="38"/>
      <c r="H466" s="38"/>
    </row>
    <row r="467" spans="2:8" x14ac:dyDescent="0.35">
      <c r="B467" s="38"/>
      <c r="C467" s="38"/>
      <c r="D467" s="38"/>
      <c r="E467" s="38"/>
      <c r="F467" s="38"/>
      <c r="G467" s="38"/>
      <c r="H467" s="38"/>
    </row>
    <row r="468" spans="2:8" x14ac:dyDescent="0.35">
      <c r="B468" s="38"/>
      <c r="C468" s="38"/>
      <c r="D468" s="38"/>
      <c r="E468" s="38"/>
      <c r="F468" s="38"/>
      <c r="G468" s="38"/>
      <c r="H468" s="38"/>
    </row>
    <row r="469" spans="2:8" x14ac:dyDescent="0.35">
      <c r="B469" s="38"/>
      <c r="C469" s="38"/>
      <c r="D469" s="38"/>
      <c r="E469" s="38"/>
      <c r="F469" s="38"/>
      <c r="G469" s="38"/>
      <c r="H469" s="38"/>
    </row>
    <row r="470" spans="2:8" x14ac:dyDescent="0.35">
      <c r="B470" s="38"/>
      <c r="C470" s="38"/>
      <c r="D470" s="38"/>
      <c r="E470" s="38"/>
      <c r="F470" s="38"/>
      <c r="G470" s="38"/>
      <c r="H470" s="38"/>
    </row>
    <row r="471" spans="2:8" x14ac:dyDescent="0.35">
      <c r="B471" s="38"/>
      <c r="C471" s="38"/>
      <c r="D471" s="38"/>
      <c r="E471" s="38"/>
      <c r="F471" s="38"/>
      <c r="G471" s="38"/>
      <c r="H471" s="38"/>
    </row>
    <row r="472" spans="2:8" x14ac:dyDescent="0.35">
      <c r="B472" s="38"/>
      <c r="C472" s="38"/>
      <c r="D472" s="38"/>
      <c r="E472" s="38"/>
      <c r="F472" s="38"/>
      <c r="G472" s="38"/>
      <c r="H472" s="38"/>
    </row>
    <row r="473" spans="2:8" x14ac:dyDescent="0.35">
      <c r="B473" s="38"/>
      <c r="C473" s="38"/>
      <c r="D473" s="38"/>
      <c r="E473" s="38"/>
      <c r="F473" s="38"/>
      <c r="G473" s="38"/>
      <c r="H473" s="38"/>
    </row>
    <row r="474" spans="2:8" x14ac:dyDescent="0.35">
      <c r="B474" s="38"/>
      <c r="C474" s="38"/>
      <c r="D474" s="38"/>
      <c r="E474" s="38"/>
      <c r="F474" s="38"/>
      <c r="G474" s="38"/>
      <c r="H474" s="38"/>
    </row>
    <row r="475" spans="2:8" x14ac:dyDescent="0.35">
      <c r="B475" s="38"/>
      <c r="C475" s="38"/>
      <c r="D475" s="38"/>
      <c r="E475" s="38"/>
      <c r="F475" s="38"/>
      <c r="G475" s="38"/>
      <c r="H475" s="38"/>
    </row>
    <row r="476" spans="2:8" x14ac:dyDescent="0.35">
      <c r="B476" s="38"/>
      <c r="C476" s="38"/>
      <c r="D476" s="38"/>
      <c r="E476" s="38"/>
      <c r="F476" s="38"/>
      <c r="G476" s="38"/>
      <c r="H476" s="38"/>
    </row>
    <row r="477" spans="2:8" x14ac:dyDescent="0.35">
      <c r="B477" s="38"/>
      <c r="C477" s="38"/>
      <c r="D477" s="38"/>
      <c r="E477" s="38"/>
      <c r="F477" s="38"/>
      <c r="G477" s="38"/>
      <c r="H477" s="38"/>
    </row>
    <row r="478" spans="2:8" x14ac:dyDescent="0.35">
      <c r="B478" s="38"/>
      <c r="C478" s="38"/>
      <c r="D478" s="38"/>
      <c r="E478" s="38"/>
      <c r="F478" s="38"/>
      <c r="G478" s="38"/>
      <c r="H478" s="38"/>
    </row>
    <row r="479" spans="2:8" x14ac:dyDescent="0.35">
      <c r="B479" s="38"/>
      <c r="C479" s="38"/>
      <c r="D479" s="38"/>
      <c r="E479" s="38"/>
      <c r="F479" s="38"/>
      <c r="G479" s="38"/>
      <c r="H479" s="38"/>
    </row>
    <row r="480" spans="2:8" x14ac:dyDescent="0.35">
      <c r="B480" s="38"/>
      <c r="C480" s="38"/>
      <c r="D480" s="38"/>
      <c r="E480" s="38"/>
      <c r="F480" s="38"/>
      <c r="G480" s="38"/>
      <c r="H480" s="38"/>
    </row>
    <row r="481" spans="2:8" x14ac:dyDescent="0.35">
      <c r="B481" s="38"/>
      <c r="C481" s="38"/>
      <c r="D481" s="38"/>
      <c r="E481" s="38"/>
      <c r="F481" s="38"/>
      <c r="G481" s="38"/>
      <c r="H481" s="38"/>
    </row>
    <row r="482" spans="2:8" x14ac:dyDescent="0.35">
      <c r="B482" s="38"/>
      <c r="C482" s="38"/>
      <c r="D482" s="38"/>
      <c r="E482" s="38"/>
      <c r="F482" s="38"/>
      <c r="G482" s="38"/>
      <c r="H482" s="38"/>
    </row>
    <row r="483" spans="2:8" x14ac:dyDescent="0.35">
      <c r="B483" s="38"/>
      <c r="C483" s="38"/>
      <c r="D483" s="38"/>
      <c r="E483" s="38"/>
      <c r="F483" s="38"/>
      <c r="G483" s="38"/>
      <c r="H483" s="38"/>
    </row>
    <row r="484" spans="2:8" x14ac:dyDescent="0.35">
      <c r="B484" s="38"/>
      <c r="C484" s="38"/>
      <c r="D484" s="38"/>
      <c r="E484" s="38"/>
      <c r="F484" s="38"/>
      <c r="G484" s="38"/>
      <c r="H484" s="38"/>
    </row>
    <row r="485" spans="2:8" x14ac:dyDescent="0.35">
      <c r="B485" s="38"/>
      <c r="C485" s="38"/>
      <c r="D485" s="38"/>
      <c r="E485" s="38"/>
      <c r="F485" s="38"/>
      <c r="G485" s="38"/>
      <c r="H485" s="38"/>
    </row>
    <row r="486" spans="2:8" x14ac:dyDescent="0.35">
      <c r="B486" s="38"/>
      <c r="C486" s="38"/>
      <c r="D486" s="38"/>
      <c r="E486" s="38"/>
      <c r="F486" s="38"/>
      <c r="G486" s="38"/>
      <c r="H486" s="38"/>
    </row>
    <row r="487" spans="2:8" x14ac:dyDescent="0.35">
      <c r="B487" s="38"/>
      <c r="C487" s="38"/>
      <c r="D487" s="38"/>
      <c r="E487" s="38"/>
      <c r="F487" s="38"/>
      <c r="G487" s="38"/>
      <c r="H487" s="38"/>
    </row>
    <row r="488" spans="2:8" x14ac:dyDescent="0.35">
      <c r="B488" s="38"/>
      <c r="C488" s="38"/>
      <c r="D488" s="38"/>
      <c r="E488" s="38"/>
      <c r="F488" s="38"/>
      <c r="G488" s="38"/>
      <c r="H488" s="38"/>
    </row>
    <row r="489" spans="2:8" x14ac:dyDescent="0.35">
      <c r="B489" s="38"/>
      <c r="C489" s="38"/>
      <c r="D489" s="38"/>
      <c r="E489" s="38"/>
      <c r="F489" s="38"/>
      <c r="G489" s="38"/>
      <c r="H489" s="38"/>
    </row>
    <row r="490" spans="2:8" x14ac:dyDescent="0.35">
      <c r="B490" s="38"/>
      <c r="C490" s="38"/>
      <c r="D490" s="38"/>
      <c r="E490" s="38"/>
      <c r="F490" s="38"/>
      <c r="G490" s="38"/>
      <c r="H490" s="38"/>
    </row>
    <row r="491" spans="2:8" x14ac:dyDescent="0.35">
      <c r="B491" s="38"/>
      <c r="C491" s="38"/>
      <c r="D491" s="38"/>
      <c r="E491" s="38"/>
      <c r="F491" s="38"/>
      <c r="G491" s="38"/>
      <c r="H491" s="38"/>
    </row>
    <row r="492" spans="2:8" x14ac:dyDescent="0.35">
      <c r="B492" s="38"/>
      <c r="C492" s="38"/>
      <c r="D492" s="38"/>
      <c r="E492" s="38"/>
      <c r="F492" s="38"/>
      <c r="G492" s="38"/>
      <c r="H492" s="38"/>
    </row>
    <row r="493" spans="2:8" x14ac:dyDescent="0.35">
      <c r="B493" s="38"/>
      <c r="C493" s="38"/>
      <c r="D493" s="38"/>
      <c r="E493" s="38"/>
      <c r="F493" s="38"/>
      <c r="G493" s="38"/>
      <c r="H493" s="38"/>
    </row>
    <row r="494" spans="2:8" x14ac:dyDescent="0.35">
      <c r="B494" s="38"/>
      <c r="C494" s="38"/>
      <c r="D494" s="38"/>
      <c r="E494" s="38"/>
      <c r="F494" s="38"/>
      <c r="G494" s="38"/>
      <c r="H494" s="38"/>
    </row>
    <row r="495" spans="2:8" x14ac:dyDescent="0.35">
      <c r="B495" s="38"/>
      <c r="C495" s="38"/>
      <c r="D495" s="38"/>
      <c r="E495" s="38"/>
      <c r="F495" s="38"/>
      <c r="G495" s="38"/>
      <c r="H495" s="38"/>
    </row>
    <row r="496" spans="2:8" x14ac:dyDescent="0.35">
      <c r="B496" s="38"/>
      <c r="C496" s="38"/>
      <c r="D496" s="38"/>
      <c r="E496" s="38"/>
      <c r="F496" s="38"/>
      <c r="G496" s="38"/>
      <c r="H496" s="38"/>
    </row>
    <row r="497" spans="2:8" x14ac:dyDescent="0.35">
      <c r="B497" s="38"/>
      <c r="C497" s="38"/>
      <c r="D497" s="38"/>
      <c r="E497" s="38"/>
      <c r="F497" s="38"/>
      <c r="G497" s="38"/>
      <c r="H497" s="38"/>
    </row>
    <row r="498" spans="2:8" x14ac:dyDescent="0.35">
      <c r="B498" s="38"/>
      <c r="C498" s="38"/>
      <c r="D498" s="38"/>
      <c r="E498" s="38"/>
      <c r="F498" s="38"/>
      <c r="G498" s="38"/>
      <c r="H498" s="38"/>
    </row>
    <row r="499" spans="2:8" x14ac:dyDescent="0.35">
      <c r="B499" s="38"/>
      <c r="C499" s="38"/>
      <c r="D499" s="38"/>
      <c r="E499" s="38"/>
      <c r="F499" s="38"/>
      <c r="G499" s="38"/>
      <c r="H499" s="38"/>
    </row>
    <row r="500" spans="2:8" x14ac:dyDescent="0.35">
      <c r="B500" s="38"/>
      <c r="C500" s="38"/>
      <c r="D500" s="38"/>
      <c r="E500" s="38"/>
      <c r="F500" s="38"/>
      <c r="G500" s="38"/>
      <c r="H500" s="38"/>
    </row>
    <row r="501" spans="2:8" x14ac:dyDescent="0.35">
      <c r="B501" s="38"/>
      <c r="C501" s="38"/>
      <c r="D501" s="38"/>
      <c r="E501" s="38"/>
      <c r="F501" s="38"/>
      <c r="G501" s="38"/>
      <c r="H501" s="38"/>
    </row>
    <row r="502" spans="2:8" x14ac:dyDescent="0.35">
      <c r="B502" s="38"/>
      <c r="C502" s="38"/>
      <c r="D502" s="38"/>
      <c r="E502" s="38"/>
      <c r="F502" s="38"/>
      <c r="G502" s="38"/>
      <c r="H502" s="38"/>
    </row>
    <row r="503" spans="2:8" x14ac:dyDescent="0.35">
      <c r="B503" s="38"/>
      <c r="C503" s="38"/>
      <c r="D503" s="38"/>
      <c r="E503" s="38"/>
      <c r="F503" s="38"/>
      <c r="G503" s="38"/>
      <c r="H503" s="38"/>
    </row>
    <row r="504" spans="2:8" x14ac:dyDescent="0.35">
      <c r="B504" s="38"/>
      <c r="C504" s="38"/>
      <c r="D504" s="38"/>
      <c r="E504" s="38"/>
      <c r="F504" s="38"/>
      <c r="G504" s="38"/>
      <c r="H504" s="38"/>
    </row>
    <row r="505" spans="2:8" x14ac:dyDescent="0.35">
      <c r="B505" s="38"/>
      <c r="C505" s="38"/>
      <c r="D505" s="38"/>
      <c r="E505" s="38"/>
      <c r="F505" s="38"/>
      <c r="G505" s="38"/>
      <c r="H505" s="38"/>
    </row>
    <row r="506" spans="2:8" x14ac:dyDescent="0.35">
      <c r="B506" s="38"/>
      <c r="C506" s="38"/>
      <c r="D506" s="38"/>
      <c r="E506" s="38"/>
      <c r="F506" s="38"/>
      <c r="G506" s="38"/>
      <c r="H506" s="38"/>
    </row>
    <row r="507" spans="2:8" x14ac:dyDescent="0.35">
      <c r="B507" s="38"/>
      <c r="C507" s="38"/>
      <c r="D507" s="38"/>
      <c r="E507" s="38"/>
      <c r="F507" s="38"/>
      <c r="G507" s="38"/>
      <c r="H507" s="38"/>
    </row>
    <row r="508" spans="2:8" x14ac:dyDescent="0.35">
      <c r="B508" s="38"/>
      <c r="C508" s="38"/>
      <c r="D508" s="38"/>
      <c r="E508" s="38"/>
      <c r="F508" s="38"/>
      <c r="G508" s="38"/>
      <c r="H508" s="38"/>
    </row>
    <row r="509" spans="2:8" x14ac:dyDescent="0.35">
      <c r="B509" s="38"/>
      <c r="C509" s="38"/>
      <c r="D509" s="38"/>
      <c r="E509" s="38"/>
      <c r="F509" s="38"/>
      <c r="G509" s="38"/>
      <c r="H509" s="38"/>
    </row>
    <row r="510" spans="2:8" x14ac:dyDescent="0.35">
      <c r="B510" s="38"/>
      <c r="C510" s="38"/>
      <c r="D510" s="38"/>
      <c r="E510" s="38"/>
      <c r="F510" s="38"/>
      <c r="G510" s="38"/>
      <c r="H510" s="38"/>
    </row>
    <row r="511" spans="2:8" x14ac:dyDescent="0.35">
      <c r="B511" s="38"/>
      <c r="C511" s="38"/>
      <c r="D511" s="38"/>
      <c r="E511" s="38"/>
      <c r="F511" s="38"/>
      <c r="G511" s="38"/>
      <c r="H511" s="38"/>
    </row>
    <row r="512" spans="2:8" x14ac:dyDescent="0.35">
      <c r="B512" s="38"/>
      <c r="C512" s="38"/>
      <c r="D512" s="38"/>
      <c r="E512" s="38"/>
      <c r="F512" s="38"/>
      <c r="G512" s="38"/>
      <c r="H512" s="38"/>
    </row>
    <row r="513" spans="2:8" x14ac:dyDescent="0.35">
      <c r="B513" s="38"/>
      <c r="C513" s="38"/>
      <c r="D513" s="38"/>
      <c r="E513" s="38"/>
      <c r="F513" s="38"/>
      <c r="G513" s="38"/>
      <c r="H513" s="38"/>
    </row>
    <row r="514" spans="2:8" x14ac:dyDescent="0.35">
      <c r="B514" s="38"/>
      <c r="C514" s="38"/>
      <c r="D514" s="38"/>
      <c r="E514" s="38"/>
      <c r="F514" s="38"/>
      <c r="G514" s="38"/>
      <c r="H514" s="38"/>
    </row>
    <row r="515" spans="2:8" x14ac:dyDescent="0.35">
      <c r="B515" s="38"/>
      <c r="C515" s="38"/>
      <c r="D515" s="38"/>
      <c r="E515" s="38"/>
      <c r="F515" s="38"/>
      <c r="G515" s="38"/>
      <c r="H515" s="38"/>
    </row>
    <row r="516" spans="2:8" x14ac:dyDescent="0.35">
      <c r="B516" s="38"/>
      <c r="C516" s="38"/>
      <c r="D516" s="38"/>
      <c r="E516" s="38"/>
      <c r="F516" s="38"/>
      <c r="G516" s="38"/>
      <c r="H516" s="38"/>
    </row>
    <row r="517" spans="2:8" x14ac:dyDescent="0.35">
      <c r="B517" s="38"/>
      <c r="C517" s="38"/>
      <c r="D517" s="38"/>
      <c r="E517" s="38"/>
      <c r="F517" s="38"/>
      <c r="G517" s="38"/>
      <c r="H517" s="38"/>
    </row>
    <row r="518" spans="2:8" x14ac:dyDescent="0.35">
      <c r="B518" s="38"/>
      <c r="C518" s="38"/>
      <c r="D518" s="38"/>
      <c r="E518" s="38"/>
      <c r="F518" s="38"/>
      <c r="G518" s="38"/>
      <c r="H518" s="38"/>
    </row>
    <row r="519" spans="2:8" x14ac:dyDescent="0.35">
      <c r="B519" s="38"/>
      <c r="C519" s="38"/>
      <c r="D519" s="38"/>
      <c r="E519" s="38"/>
      <c r="F519" s="38"/>
      <c r="G519" s="38"/>
      <c r="H519" s="38"/>
    </row>
    <row r="520" spans="2:8" x14ac:dyDescent="0.35">
      <c r="B520" s="38"/>
      <c r="C520" s="38"/>
      <c r="D520" s="38"/>
      <c r="E520" s="38"/>
      <c r="F520" s="38"/>
      <c r="G520" s="38"/>
      <c r="H520" s="38"/>
    </row>
    <row r="521" spans="2:8" x14ac:dyDescent="0.35">
      <c r="B521" s="38"/>
      <c r="C521" s="38"/>
      <c r="D521" s="38"/>
      <c r="E521" s="38"/>
      <c r="F521" s="38"/>
      <c r="G521" s="38"/>
      <c r="H521" s="38"/>
    </row>
    <row r="522" spans="2:8" x14ac:dyDescent="0.35">
      <c r="B522" s="38"/>
      <c r="C522" s="38"/>
      <c r="D522" s="38"/>
      <c r="E522" s="38"/>
      <c r="F522" s="38"/>
      <c r="G522" s="38"/>
      <c r="H522" s="38"/>
    </row>
    <row r="523" spans="2:8" x14ac:dyDescent="0.35">
      <c r="B523" s="38"/>
      <c r="C523" s="38"/>
      <c r="D523" s="38"/>
      <c r="E523" s="38"/>
      <c r="F523" s="38"/>
      <c r="G523" s="38"/>
      <c r="H523" s="38"/>
    </row>
    <row r="524" spans="2:8" x14ac:dyDescent="0.35">
      <c r="B524" s="38"/>
      <c r="C524" s="38"/>
      <c r="D524" s="38"/>
      <c r="E524" s="38"/>
      <c r="F524" s="38"/>
      <c r="G524" s="38"/>
      <c r="H524" s="38"/>
    </row>
    <row r="525" spans="2:8" x14ac:dyDescent="0.35">
      <c r="B525" s="38"/>
      <c r="C525" s="38"/>
      <c r="D525" s="38"/>
      <c r="E525" s="38"/>
      <c r="F525" s="38"/>
      <c r="G525" s="38"/>
      <c r="H525" s="38"/>
    </row>
    <row r="526" spans="2:8" x14ac:dyDescent="0.35">
      <c r="B526" s="38"/>
      <c r="C526" s="38"/>
      <c r="D526" s="38"/>
      <c r="E526" s="38"/>
      <c r="F526" s="38"/>
      <c r="G526" s="38"/>
      <c r="H526" s="38"/>
    </row>
    <row r="527" spans="2:8" x14ac:dyDescent="0.35">
      <c r="B527" s="38"/>
      <c r="C527" s="38"/>
      <c r="D527" s="38"/>
      <c r="E527" s="38"/>
      <c r="F527" s="38"/>
      <c r="G527" s="38"/>
      <c r="H527" s="38"/>
    </row>
    <row r="528" spans="2:8" x14ac:dyDescent="0.35">
      <c r="B528" s="38"/>
      <c r="C528" s="38"/>
      <c r="D528" s="38"/>
      <c r="E528" s="38"/>
      <c r="F528" s="38"/>
      <c r="G528" s="38"/>
      <c r="H528" s="38"/>
    </row>
    <row r="529" spans="2:8" x14ac:dyDescent="0.35">
      <c r="B529" s="38"/>
      <c r="C529" s="38"/>
      <c r="D529" s="38"/>
      <c r="E529" s="38"/>
      <c r="F529" s="38"/>
      <c r="G529" s="38"/>
      <c r="H529" s="38"/>
    </row>
    <row r="530" spans="2:8" x14ac:dyDescent="0.35">
      <c r="B530" s="38"/>
      <c r="C530" s="38"/>
      <c r="D530" s="38"/>
      <c r="E530" s="38"/>
      <c r="F530" s="38"/>
      <c r="G530" s="38"/>
      <c r="H530" s="38"/>
    </row>
    <row r="531" spans="2:8" x14ac:dyDescent="0.35">
      <c r="B531" s="38"/>
      <c r="C531" s="38"/>
      <c r="D531" s="38"/>
      <c r="E531" s="38"/>
      <c r="F531" s="38"/>
      <c r="G531" s="38"/>
      <c r="H531" s="38"/>
    </row>
    <row r="532" spans="2:8" x14ac:dyDescent="0.35">
      <c r="B532" s="38"/>
      <c r="C532" s="38"/>
      <c r="D532" s="38"/>
      <c r="E532" s="38"/>
      <c r="F532" s="38"/>
      <c r="G532" s="38"/>
      <c r="H532" s="38"/>
    </row>
    <row r="533" spans="2:8" x14ac:dyDescent="0.35">
      <c r="B533" s="38"/>
      <c r="C533" s="38"/>
      <c r="D533" s="38"/>
      <c r="E533" s="38"/>
      <c r="F533" s="38"/>
      <c r="G533" s="38"/>
      <c r="H533" s="38"/>
    </row>
    <row r="534" spans="2:8" x14ac:dyDescent="0.35">
      <c r="B534" s="38"/>
      <c r="C534" s="38"/>
      <c r="D534" s="38"/>
      <c r="E534" s="38"/>
      <c r="F534" s="38"/>
      <c r="G534" s="38"/>
      <c r="H534" s="38"/>
    </row>
    <row r="535" spans="2:8" x14ac:dyDescent="0.35">
      <c r="B535" s="38"/>
      <c r="C535" s="38"/>
      <c r="D535" s="38"/>
      <c r="E535" s="38"/>
      <c r="F535" s="38"/>
      <c r="G535" s="38"/>
      <c r="H535" s="38"/>
    </row>
    <row r="536" spans="2:8" x14ac:dyDescent="0.35">
      <c r="B536" s="38"/>
      <c r="C536" s="38"/>
      <c r="D536" s="38"/>
      <c r="E536" s="38"/>
      <c r="F536" s="38"/>
      <c r="G536" s="38"/>
      <c r="H536" s="38"/>
    </row>
    <row r="537" spans="2:8" x14ac:dyDescent="0.35">
      <c r="B537" s="38"/>
      <c r="C537" s="38"/>
      <c r="D537" s="38"/>
      <c r="E537" s="38"/>
      <c r="F537" s="38"/>
      <c r="G537" s="38"/>
      <c r="H537" s="38"/>
    </row>
    <row r="538" spans="2:8" x14ac:dyDescent="0.35">
      <c r="B538" s="38"/>
      <c r="C538" s="38"/>
      <c r="D538" s="38"/>
      <c r="E538" s="38"/>
      <c r="F538" s="38"/>
      <c r="G538" s="38"/>
      <c r="H538" s="38"/>
    </row>
    <row r="539" spans="2:8" x14ac:dyDescent="0.35">
      <c r="B539" s="38"/>
      <c r="C539" s="38"/>
      <c r="D539" s="38"/>
      <c r="E539" s="38"/>
      <c r="F539" s="38"/>
      <c r="G539" s="38"/>
      <c r="H539" s="38"/>
    </row>
    <row r="540" spans="2:8" x14ac:dyDescent="0.35">
      <c r="B540" s="38"/>
      <c r="C540" s="38"/>
      <c r="D540" s="38"/>
      <c r="E540" s="38"/>
      <c r="F540" s="38"/>
      <c r="G540" s="38"/>
      <c r="H540" s="38"/>
    </row>
    <row r="541" spans="2:8" x14ac:dyDescent="0.35">
      <c r="B541" s="38"/>
      <c r="C541" s="38"/>
      <c r="D541" s="38"/>
      <c r="E541" s="38"/>
      <c r="F541" s="38"/>
      <c r="G541" s="38"/>
      <c r="H541" s="38"/>
    </row>
    <row r="542" spans="2:8" x14ac:dyDescent="0.35">
      <c r="B542" s="38"/>
      <c r="C542" s="38"/>
      <c r="D542" s="38"/>
      <c r="E542" s="38"/>
      <c r="F542" s="38"/>
      <c r="G542" s="38"/>
      <c r="H542" s="38"/>
    </row>
    <row r="543" spans="2:8" x14ac:dyDescent="0.35">
      <c r="B543" s="38"/>
      <c r="C543" s="38"/>
      <c r="D543" s="38"/>
      <c r="E543" s="38"/>
      <c r="F543" s="38"/>
      <c r="G543" s="38"/>
      <c r="H543" s="38"/>
    </row>
    <row r="544" spans="2:8" x14ac:dyDescent="0.35">
      <c r="B544" s="38"/>
      <c r="C544" s="38"/>
      <c r="D544" s="38"/>
      <c r="E544" s="38"/>
      <c r="F544" s="38"/>
      <c r="G544" s="38"/>
      <c r="H544" s="38"/>
    </row>
    <row r="545" spans="2:8" x14ac:dyDescent="0.35">
      <c r="B545" s="38"/>
      <c r="C545" s="38"/>
      <c r="D545" s="38"/>
      <c r="E545" s="38"/>
      <c r="F545" s="38"/>
      <c r="G545" s="38"/>
      <c r="H545" s="38"/>
    </row>
    <row r="546" spans="2:8" x14ac:dyDescent="0.35">
      <c r="B546" s="38"/>
      <c r="C546" s="38"/>
      <c r="D546" s="38"/>
      <c r="E546" s="38"/>
      <c r="F546" s="38"/>
      <c r="G546" s="38"/>
      <c r="H546" s="38"/>
    </row>
    <row r="547" spans="2:8" x14ac:dyDescent="0.35">
      <c r="B547" s="38"/>
      <c r="C547" s="38"/>
      <c r="D547" s="38"/>
      <c r="E547" s="38"/>
      <c r="F547" s="38"/>
      <c r="G547" s="38"/>
      <c r="H547" s="38"/>
    </row>
    <row r="548" spans="2:8" x14ac:dyDescent="0.35">
      <c r="B548" s="38"/>
      <c r="C548" s="38"/>
      <c r="D548" s="38"/>
      <c r="E548" s="38"/>
      <c r="F548" s="38"/>
      <c r="G548" s="38"/>
      <c r="H548" s="38"/>
    </row>
    <row r="549" spans="2:8" x14ac:dyDescent="0.35">
      <c r="B549" s="38"/>
      <c r="C549" s="38"/>
      <c r="D549" s="38"/>
      <c r="E549" s="38"/>
      <c r="F549" s="38"/>
      <c r="G549" s="38"/>
      <c r="H549" s="38"/>
    </row>
    <row r="550" spans="2:8" x14ac:dyDescent="0.35">
      <c r="B550" s="38"/>
      <c r="C550" s="38"/>
      <c r="D550" s="38"/>
      <c r="E550" s="38"/>
      <c r="F550" s="38"/>
      <c r="G550" s="38"/>
      <c r="H550" s="38"/>
    </row>
    <row r="551" spans="2:8" x14ac:dyDescent="0.35">
      <c r="B551" s="38"/>
      <c r="C551" s="38"/>
      <c r="D551" s="38"/>
      <c r="E551" s="38"/>
      <c r="F551" s="38"/>
      <c r="G551" s="38"/>
      <c r="H551" s="38"/>
    </row>
    <row r="552" spans="2:8" x14ac:dyDescent="0.35">
      <c r="B552" s="38"/>
      <c r="C552" s="38"/>
      <c r="D552" s="38"/>
      <c r="E552" s="38"/>
      <c r="F552" s="38"/>
      <c r="G552" s="38"/>
      <c r="H552" s="38"/>
    </row>
    <row r="553" spans="2:8" x14ac:dyDescent="0.35">
      <c r="B553" s="38"/>
      <c r="C553" s="38"/>
      <c r="D553" s="38"/>
      <c r="E553" s="38"/>
      <c r="F553" s="38"/>
      <c r="G553" s="38"/>
      <c r="H553" s="38"/>
    </row>
    <row r="554" spans="2:8" x14ac:dyDescent="0.35">
      <c r="B554" s="38"/>
      <c r="C554" s="38"/>
      <c r="D554" s="38"/>
      <c r="E554" s="38"/>
      <c r="F554" s="38"/>
      <c r="G554" s="38"/>
      <c r="H554" s="38"/>
    </row>
    <row r="555" spans="2:8" x14ac:dyDescent="0.35">
      <c r="B555" s="38"/>
      <c r="C555" s="38"/>
      <c r="D555" s="38"/>
      <c r="E555" s="38"/>
      <c r="F555" s="38"/>
      <c r="G555" s="38"/>
      <c r="H555" s="38"/>
    </row>
    <row r="556" spans="2:8" x14ac:dyDescent="0.35">
      <c r="B556" s="38"/>
      <c r="C556" s="38"/>
      <c r="D556" s="38"/>
      <c r="E556" s="38"/>
      <c r="F556" s="38"/>
      <c r="G556" s="38"/>
      <c r="H556" s="38"/>
    </row>
    <row r="557" spans="2:8" x14ac:dyDescent="0.35">
      <c r="B557" s="38"/>
      <c r="C557" s="38"/>
      <c r="D557" s="38"/>
      <c r="E557" s="38"/>
      <c r="F557" s="38"/>
      <c r="G557" s="38"/>
      <c r="H557" s="38"/>
    </row>
    <row r="558" spans="2:8" x14ac:dyDescent="0.35">
      <c r="B558" s="38"/>
      <c r="C558" s="38"/>
      <c r="D558" s="38"/>
      <c r="E558" s="38"/>
      <c r="F558" s="38"/>
      <c r="G558" s="38"/>
      <c r="H558" s="38"/>
    </row>
    <row r="559" spans="2:8" x14ac:dyDescent="0.35">
      <c r="B559" s="38"/>
      <c r="C559" s="38"/>
      <c r="D559" s="38"/>
      <c r="E559" s="38"/>
      <c r="F559" s="38"/>
      <c r="G559" s="38"/>
      <c r="H559" s="38"/>
    </row>
    <row r="560" spans="2:8" x14ac:dyDescent="0.35">
      <c r="B560" s="38"/>
      <c r="C560" s="38"/>
      <c r="D560" s="38"/>
      <c r="E560" s="38"/>
      <c r="F560" s="38"/>
      <c r="G560" s="38"/>
      <c r="H560" s="38"/>
    </row>
    <row r="561" spans="2:8" x14ac:dyDescent="0.35">
      <c r="B561" s="38"/>
      <c r="C561" s="38"/>
      <c r="D561" s="38"/>
      <c r="E561" s="38"/>
      <c r="F561" s="38"/>
      <c r="G561" s="38"/>
      <c r="H561" s="38"/>
    </row>
    <row r="562" spans="2:8" x14ac:dyDescent="0.35">
      <c r="B562" s="38"/>
      <c r="C562" s="38"/>
      <c r="D562" s="38"/>
      <c r="E562" s="38"/>
      <c r="F562" s="38"/>
      <c r="G562" s="38"/>
      <c r="H562" s="38"/>
    </row>
    <row r="563" spans="2:8" x14ac:dyDescent="0.35">
      <c r="B563" s="38"/>
      <c r="C563" s="38"/>
      <c r="D563" s="38"/>
      <c r="E563" s="38"/>
      <c r="F563" s="38"/>
      <c r="G563" s="38"/>
      <c r="H563" s="38"/>
    </row>
    <row r="564" spans="2:8" x14ac:dyDescent="0.35">
      <c r="B564" s="38"/>
      <c r="C564" s="38"/>
      <c r="D564" s="38"/>
      <c r="E564" s="38"/>
      <c r="F564" s="38"/>
      <c r="G564" s="38"/>
      <c r="H564" s="38"/>
    </row>
    <row r="565" spans="2:8" x14ac:dyDescent="0.35">
      <c r="B565" s="38"/>
      <c r="C565" s="38"/>
      <c r="D565" s="38"/>
      <c r="E565" s="38"/>
      <c r="F565" s="38"/>
      <c r="G565" s="38"/>
      <c r="H565" s="38"/>
    </row>
    <row r="566" spans="2:8" x14ac:dyDescent="0.35">
      <c r="B566" s="38"/>
      <c r="C566" s="38"/>
      <c r="D566" s="38"/>
      <c r="E566" s="38"/>
      <c r="F566" s="38"/>
      <c r="G566" s="38"/>
      <c r="H566" s="38"/>
    </row>
    <row r="567" spans="2:8" x14ac:dyDescent="0.35">
      <c r="B567" s="38"/>
      <c r="C567" s="38"/>
      <c r="D567" s="38"/>
      <c r="E567" s="38"/>
      <c r="F567" s="38"/>
      <c r="G567" s="38"/>
      <c r="H567" s="38"/>
    </row>
    <row r="568" spans="2:8" x14ac:dyDescent="0.35">
      <c r="B568" s="38"/>
      <c r="C568" s="38"/>
      <c r="D568" s="38"/>
      <c r="E568" s="38"/>
      <c r="F568" s="38"/>
      <c r="G568" s="38"/>
      <c r="H568" s="38"/>
    </row>
    <row r="569" spans="2:8" x14ac:dyDescent="0.35">
      <c r="B569" s="38"/>
      <c r="C569" s="38"/>
      <c r="D569" s="38"/>
      <c r="E569" s="38"/>
      <c r="F569" s="38"/>
      <c r="G569" s="38"/>
      <c r="H569" s="38"/>
    </row>
    <row r="570" spans="2:8" x14ac:dyDescent="0.35">
      <c r="B570" s="38"/>
      <c r="C570" s="38"/>
      <c r="D570" s="38"/>
      <c r="E570" s="38"/>
      <c r="F570" s="38"/>
      <c r="G570" s="38"/>
      <c r="H570" s="38"/>
    </row>
    <row r="571" spans="2:8" x14ac:dyDescent="0.35">
      <c r="B571" s="38"/>
      <c r="C571" s="38"/>
      <c r="D571" s="38"/>
      <c r="E571" s="38"/>
      <c r="F571" s="38"/>
      <c r="G571" s="38"/>
      <c r="H571" s="38"/>
    </row>
    <row r="572" spans="2:8" x14ac:dyDescent="0.35">
      <c r="B572" s="38"/>
      <c r="C572" s="38"/>
      <c r="D572" s="38"/>
      <c r="E572" s="38"/>
      <c r="F572" s="38"/>
      <c r="G572" s="38"/>
      <c r="H572" s="38"/>
    </row>
    <row r="573" spans="2:8" x14ac:dyDescent="0.35">
      <c r="B573" s="38"/>
      <c r="C573" s="38"/>
      <c r="D573" s="38"/>
      <c r="E573" s="38"/>
      <c r="F573" s="38"/>
      <c r="G573" s="38"/>
      <c r="H573" s="38"/>
    </row>
    <row r="574" spans="2:8" x14ac:dyDescent="0.35">
      <c r="B574" s="38"/>
      <c r="C574" s="38"/>
      <c r="D574" s="38"/>
      <c r="E574" s="38"/>
      <c r="F574" s="38"/>
      <c r="G574" s="38"/>
      <c r="H574" s="38"/>
    </row>
    <row r="575" spans="2:8" x14ac:dyDescent="0.35">
      <c r="B575" s="38"/>
      <c r="C575" s="38"/>
      <c r="D575" s="38"/>
      <c r="E575" s="38"/>
      <c r="F575" s="38"/>
      <c r="G575" s="38"/>
      <c r="H575" s="38"/>
    </row>
    <row r="576" spans="2:8" x14ac:dyDescent="0.35">
      <c r="B576" s="38"/>
      <c r="C576" s="38"/>
      <c r="D576" s="38"/>
      <c r="E576" s="38"/>
      <c r="F576" s="38"/>
      <c r="G576" s="38"/>
      <c r="H576" s="38"/>
    </row>
    <row r="577" spans="2:8" x14ac:dyDescent="0.35">
      <c r="B577" s="38"/>
      <c r="C577" s="38"/>
      <c r="D577" s="38"/>
      <c r="E577" s="38"/>
      <c r="F577" s="38"/>
      <c r="G577" s="38"/>
      <c r="H577" s="38"/>
    </row>
    <row r="578" spans="2:8" x14ac:dyDescent="0.35">
      <c r="B578" s="38"/>
      <c r="C578" s="38"/>
      <c r="D578" s="38"/>
      <c r="E578" s="38"/>
      <c r="F578" s="38"/>
      <c r="G578" s="38"/>
      <c r="H578" s="38"/>
    </row>
    <row r="579" spans="2:8" x14ac:dyDescent="0.35">
      <c r="B579" s="38"/>
      <c r="C579" s="38"/>
      <c r="D579" s="38"/>
      <c r="E579" s="38"/>
      <c r="F579" s="38"/>
      <c r="G579" s="38"/>
      <c r="H579" s="38"/>
    </row>
    <row r="580" spans="2:8" x14ac:dyDescent="0.35">
      <c r="B580" s="38"/>
      <c r="C580" s="38"/>
      <c r="D580" s="38"/>
      <c r="E580" s="38"/>
      <c r="F580" s="38"/>
      <c r="G580" s="38"/>
      <c r="H580" s="38"/>
    </row>
    <row r="581" spans="2:8" x14ac:dyDescent="0.35">
      <c r="B581" s="38"/>
      <c r="C581" s="38"/>
      <c r="D581" s="38"/>
      <c r="E581" s="38"/>
      <c r="F581" s="38"/>
      <c r="G581" s="38"/>
      <c r="H581" s="38"/>
    </row>
    <row r="582" spans="2:8" x14ac:dyDescent="0.35">
      <c r="B582" s="38"/>
      <c r="C582" s="38"/>
      <c r="D582" s="38"/>
      <c r="E582" s="38"/>
      <c r="F582" s="38"/>
      <c r="G582" s="38"/>
      <c r="H582" s="38"/>
    </row>
    <row r="583" spans="2:8" x14ac:dyDescent="0.35">
      <c r="B583" s="38"/>
      <c r="C583" s="38"/>
      <c r="D583" s="38"/>
      <c r="E583" s="38"/>
      <c r="F583" s="38"/>
      <c r="G583" s="38"/>
      <c r="H583" s="38"/>
    </row>
    <row r="584" spans="2:8" x14ac:dyDescent="0.35">
      <c r="B584" s="38"/>
      <c r="C584" s="38"/>
      <c r="D584" s="38"/>
      <c r="E584" s="38"/>
      <c r="F584" s="38"/>
      <c r="G584" s="38"/>
      <c r="H584" s="38"/>
    </row>
    <row r="585" spans="2:8" x14ac:dyDescent="0.35">
      <c r="B585" s="38"/>
      <c r="C585" s="38"/>
      <c r="D585" s="38"/>
      <c r="E585" s="38"/>
      <c r="F585" s="38"/>
      <c r="G585" s="38"/>
      <c r="H585" s="38"/>
    </row>
    <row r="586" spans="2:8" x14ac:dyDescent="0.35">
      <c r="B586" s="38"/>
      <c r="C586" s="38"/>
      <c r="D586" s="38"/>
      <c r="E586" s="38"/>
      <c r="F586" s="38"/>
      <c r="G586" s="38"/>
      <c r="H586" s="38"/>
    </row>
    <row r="587" spans="2:8" x14ac:dyDescent="0.35">
      <c r="B587" s="38"/>
      <c r="C587" s="38"/>
      <c r="D587" s="38"/>
      <c r="E587" s="38"/>
      <c r="F587" s="38"/>
      <c r="G587" s="38"/>
      <c r="H587" s="38"/>
    </row>
    <row r="588" spans="2:8" x14ac:dyDescent="0.35">
      <c r="B588" s="38"/>
      <c r="C588" s="38"/>
      <c r="D588" s="38"/>
      <c r="E588" s="38"/>
      <c r="F588" s="38"/>
      <c r="G588" s="38"/>
      <c r="H588" s="38"/>
    </row>
    <row r="589" spans="2:8" x14ac:dyDescent="0.35">
      <c r="B589" s="38"/>
      <c r="C589" s="38"/>
      <c r="D589" s="38"/>
      <c r="E589" s="38"/>
      <c r="F589" s="38"/>
      <c r="G589" s="38"/>
      <c r="H589" s="38"/>
    </row>
    <row r="590" spans="2:8" x14ac:dyDescent="0.35">
      <c r="B590" s="38"/>
      <c r="C590" s="38"/>
      <c r="D590" s="38"/>
      <c r="E590" s="38"/>
      <c r="F590" s="38"/>
      <c r="G590" s="38"/>
      <c r="H590" s="38"/>
    </row>
    <row r="591" spans="2:8" x14ac:dyDescent="0.35">
      <c r="B591" s="38"/>
      <c r="C591" s="38"/>
      <c r="D591" s="38"/>
      <c r="E591" s="38"/>
      <c r="F591" s="38"/>
      <c r="G591" s="38"/>
      <c r="H591" s="38"/>
    </row>
    <row r="592" spans="2:8" x14ac:dyDescent="0.35">
      <c r="B592" s="38"/>
      <c r="C592" s="38"/>
      <c r="D592" s="38"/>
      <c r="E592" s="38"/>
      <c r="F592" s="38"/>
      <c r="G592" s="38"/>
      <c r="H592" s="38"/>
    </row>
    <row r="593" spans="2:8" x14ac:dyDescent="0.35">
      <c r="B593" s="38"/>
      <c r="C593" s="38"/>
      <c r="D593" s="38"/>
      <c r="E593" s="38"/>
      <c r="F593" s="38"/>
      <c r="G593" s="38"/>
      <c r="H593" s="38"/>
    </row>
    <row r="594" spans="2:8" x14ac:dyDescent="0.35">
      <c r="B594" s="38"/>
      <c r="C594" s="38"/>
      <c r="D594" s="38"/>
      <c r="E594" s="38"/>
      <c r="F594" s="38"/>
      <c r="G594" s="38"/>
      <c r="H594" s="38"/>
    </row>
    <row r="595" spans="2:8" x14ac:dyDescent="0.35">
      <c r="B595" s="38"/>
      <c r="C595" s="38"/>
      <c r="D595" s="38"/>
      <c r="E595" s="38"/>
      <c r="F595" s="38"/>
      <c r="G595" s="38"/>
      <c r="H595" s="38"/>
    </row>
    <row r="596" spans="2:8" x14ac:dyDescent="0.35">
      <c r="B596" s="38"/>
      <c r="C596" s="38"/>
      <c r="D596" s="38"/>
      <c r="E596" s="38"/>
      <c r="F596" s="38"/>
      <c r="G596" s="38"/>
      <c r="H596" s="38"/>
    </row>
    <row r="597" spans="2:8" x14ac:dyDescent="0.35">
      <c r="B597" s="38"/>
      <c r="C597" s="38"/>
      <c r="D597" s="38"/>
      <c r="E597" s="38"/>
      <c r="F597" s="38"/>
      <c r="G597" s="38"/>
      <c r="H597" s="38"/>
    </row>
    <row r="598" spans="2:8" x14ac:dyDescent="0.35">
      <c r="B598" s="38"/>
      <c r="C598" s="38"/>
      <c r="D598" s="38"/>
      <c r="E598" s="38"/>
      <c r="F598" s="38"/>
      <c r="G598" s="38"/>
      <c r="H598" s="38"/>
    </row>
    <row r="599" spans="2:8" x14ac:dyDescent="0.35">
      <c r="B599" s="38"/>
      <c r="C599" s="38"/>
      <c r="D599" s="38"/>
      <c r="E599" s="38"/>
      <c r="F599" s="38"/>
      <c r="G599" s="38"/>
      <c r="H599" s="38"/>
    </row>
    <row r="600" spans="2:8" x14ac:dyDescent="0.35">
      <c r="B600" s="38"/>
      <c r="C600" s="38"/>
      <c r="D600" s="38"/>
      <c r="E600" s="38"/>
      <c r="F600" s="38"/>
      <c r="G600" s="38"/>
      <c r="H600" s="38"/>
    </row>
    <row r="601" spans="2:8" x14ac:dyDescent="0.35">
      <c r="B601" s="38"/>
      <c r="C601" s="38"/>
      <c r="D601" s="38"/>
      <c r="E601" s="38"/>
      <c r="F601" s="38"/>
      <c r="G601" s="38"/>
      <c r="H601" s="38"/>
    </row>
    <row r="602" spans="2:8" x14ac:dyDescent="0.35">
      <c r="B602" s="38"/>
      <c r="C602" s="38"/>
      <c r="D602" s="38"/>
      <c r="E602" s="38"/>
      <c r="F602" s="38"/>
      <c r="G602" s="38"/>
      <c r="H602" s="38"/>
    </row>
    <row r="603" spans="2:8" x14ac:dyDescent="0.35">
      <c r="B603" s="38"/>
      <c r="C603" s="38"/>
      <c r="D603" s="38"/>
      <c r="E603" s="38"/>
      <c r="F603" s="38"/>
      <c r="G603" s="38"/>
      <c r="H603" s="38"/>
    </row>
    <row r="604" spans="2:8" x14ac:dyDescent="0.35">
      <c r="B604" s="38"/>
      <c r="C604" s="38"/>
      <c r="D604" s="38"/>
      <c r="E604" s="38"/>
      <c r="F604" s="38"/>
      <c r="G604" s="38"/>
      <c r="H604" s="38"/>
    </row>
    <row r="605" spans="2:8" x14ac:dyDescent="0.35">
      <c r="B605" s="38"/>
      <c r="C605" s="38"/>
      <c r="D605" s="38"/>
      <c r="E605" s="38"/>
      <c r="F605" s="38"/>
      <c r="G605" s="38"/>
      <c r="H605" s="38"/>
    </row>
    <row r="606" spans="2:8" x14ac:dyDescent="0.35">
      <c r="B606" s="38"/>
      <c r="C606" s="38"/>
      <c r="D606" s="38"/>
      <c r="E606" s="38"/>
      <c r="F606" s="38"/>
      <c r="G606" s="38"/>
      <c r="H606" s="38"/>
    </row>
    <row r="607" spans="2:8" x14ac:dyDescent="0.35">
      <c r="B607" s="38"/>
      <c r="C607" s="38"/>
      <c r="D607" s="38"/>
      <c r="E607" s="38"/>
      <c r="F607" s="38"/>
      <c r="G607" s="38"/>
      <c r="H607" s="38"/>
    </row>
    <row r="608" spans="2:8" x14ac:dyDescent="0.35">
      <c r="B608" s="38"/>
      <c r="C608" s="38"/>
      <c r="D608" s="38"/>
      <c r="E608" s="38"/>
      <c r="F608" s="38"/>
      <c r="G608" s="38"/>
      <c r="H608" s="38"/>
    </row>
    <row r="609" spans="2:8" x14ac:dyDescent="0.35">
      <c r="B609" s="38"/>
      <c r="C609" s="38"/>
      <c r="D609" s="38"/>
      <c r="E609" s="38"/>
      <c r="F609" s="38"/>
      <c r="G609" s="38"/>
      <c r="H609" s="38"/>
    </row>
    <row r="610" spans="2:8" x14ac:dyDescent="0.35">
      <c r="B610" s="38"/>
      <c r="C610" s="38"/>
      <c r="D610" s="38"/>
      <c r="E610" s="38"/>
      <c r="F610" s="38"/>
      <c r="G610" s="38"/>
      <c r="H610" s="38"/>
    </row>
    <row r="611" spans="2:8" x14ac:dyDescent="0.35">
      <c r="B611" s="38"/>
      <c r="C611" s="38"/>
      <c r="D611" s="38"/>
      <c r="E611" s="38"/>
      <c r="F611" s="38"/>
      <c r="G611" s="38"/>
      <c r="H611" s="38"/>
    </row>
    <row r="612" spans="2:8" x14ac:dyDescent="0.35">
      <c r="B612" s="38"/>
      <c r="C612" s="38"/>
      <c r="D612" s="38"/>
      <c r="E612" s="38"/>
      <c r="F612" s="38"/>
      <c r="G612" s="38"/>
      <c r="H612" s="38"/>
    </row>
    <row r="613" spans="2:8" x14ac:dyDescent="0.35">
      <c r="B613" s="38"/>
      <c r="C613" s="38"/>
      <c r="D613" s="38"/>
      <c r="E613" s="38"/>
      <c r="F613" s="38"/>
      <c r="G613" s="38"/>
      <c r="H613" s="38"/>
    </row>
    <row r="614" spans="2:8" x14ac:dyDescent="0.35">
      <c r="B614" s="38"/>
      <c r="C614" s="38"/>
      <c r="D614" s="38"/>
      <c r="E614" s="38"/>
      <c r="F614" s="38"/>
      <c r="G614" s="38"/>
      <c r="H614" s="38"/>
    </row>
    <row r="615" spans="2:8" x14ac:dyDescent="0.35">
      <c r="B615" s="38"/>
      <c r="C615" s="38"/>
      <c r="D615" s="38"/>
      <c r="E615" s="38"/>
      <c r="F615" s="38"/>
      <c r="G615" s="38"/>
      <c r="H615" s="38"/>
    </row>
    <row r="616" spans="2:8" x14ac:dyDescent="0.35">
      <c r="B616" s="38"/>
      <c r="C616" s="38"/>
      <c r="D616" s="38"/>
      <c r="E616" s="38"/>
      <c r="F616" s="38"/>
      <c r="G616" s="38"/>
      <c r="H616" s="38"/>
    </row>
    <row r="617" spans="2:8" x14ac:dyDescent="0.35">
      <c r="B617" s="38"/>
      <c r="C617" s="38"/>
      <c r="D617" s="38"/>
      <c r="E617" s="38"/>
      <c r="F617" s="38"/>
      <c r="G617" s="38"/>
      <c r="H617" s="38"/>
    </row>
    <row r="618" spans="2:8" x14ac:dyDescent="0.35">
      <c r="B618" s="38"/>
      <c r="C618" s="38"/>
      <c r="D618" s="38"/>
      <c r="E618" s="38"/>
      <c r="F618" s="38"/>
      <c r="G618" s="38"/>
      <c r="H618" s="38"/>
    </row>
    <row r="619" spans="2:8" x14ac:dyDescent="0.35">
      <c r="B619" s="38"/>
      <c r="C619" s="38"/>
      <c r="D619" s="38"/>
      <c r="E619" s="38"/>
      <c r="F619" s="38"/>
      <c r="G619" s="38"/>
      <c r="H619" s="38"/>
    </row>
    <row r="620" spans="2:8" x14ac:dyDescent="0.35">
      <c r="B620" s="38"/>
      <c r="C620" s="38"/>
      <c r="D620" s="38"/>
      <c r="E620" s="38"/>
      <c r="F620" s="38"/>
      <c r="G620" s="38"/>
      <c r="H620" s="38"/>
    </row>
    <row r="621" spans="2:8" x14ac:dyDescent="0.35">
      <c r="B621" s="38"/>
      <c r="C621" s="38"/>
      <c r="D621" s="38"/>
      <c r="E621" s="38"/>
      <c r="F621" s="38"/>
      <c r="G621" s="38"/>
      <c r="H621" s="38"/>
    </row>
    <row r="622" spans="2:8" x14ac:dyDescent="0.35">
      <c r="B622" s="38"/>
      <c r="C622" s="38"/>
      <c r="D622" s="38"/>
      <c r="E622" s="38"/>
      <c r="F622" s="38"/>
      <c r="G622" s="38"/>
      <c r="H622" s="38"/>
    </row>
    <row r="623" spans="2:8" x14ac:dyDescent="0.35">
      <c r="B623" s="38"/>
      <c r="C623" s="38"/>
      <c r="D623" s="38"/>
      <c r="E623" s="38"/>
      <c r="F623" s="38"/>
      <c r="G623" s="38"/>
      <c r="H623" s="38"/>
    </row>
    <row r="624" spans="2:8" x14ac:dyDescent="0.35">
      <c r="B624" s="38"/>
      <c r="C624" s="38"/>
      <c r="D624" s="38"/>
      <c r="E624" s="38"/>
      <c r="F624" s="38"/>
      <c r="G624" s="38"/>
      <c r="H624" s="38"/>
    </row>
    <row r="625" spans="2:8" x14ac:dyDescent="0.35">
      <c r="B625" s="38"/>
      <c r="C625" s="38"/>
      <c r="D625" s="38"/>
      <c r="E625" s="38"/>
      <c r="F625" s="38"/>
      <c r="G625" s="38"/>
      <c r="H625" s="38"/>
    </row>
    <row r="626" spans="2:8" x14ac:dyDescent="0.35">
      <c r="B626" s="38"/>
      <c r="C626" s="38"/>
      <c r="D626" s="38"/>
      <c r="E626" s="38"/>
      <c r="F626" s="38"/>
      <c r="G626" s="38"/>
      <c r="H626" s="38"/>
    </row>
    <row r="627" spans="2:8" x14ac:dyDescent="0.35">
      <c r="B627" s="38"/>
      <c r="C627" s="38"/>
      <c r="D627" s="38"/>
      <c r="E627" s="38"/>
      <c r="F627" s="38"/>
      <c r="G627" s="38"/>
      <c r="H627" s="38"/>
    </row>
    <row r="628" spans="2:8" x14ac:dyDescent="0.35">
      <c r="B628" s="38"/>
      <c r="C628" s="38"/>
      <c r="D628" s="38"/>
      <c r="E628" s="38"/>
      <c r="F628" s="38"/>
      <c r="G628" s="38"/>
      <c r="H628" s="38"/>
    </row>
    <row r="629" spans="2:8" x14ac:dyDescent="0.35">
      <c r="B629" s="38"/>
      <c r="C629" s="38"/>
      <c r="D629" s="38"/>
      <c r="E629" s="38"/>
      <c r="F629" s="38"/>
      <c r="G629" s="38"/>
      <c r="H629" s="38"/>
    </row>
    <row r="630" spans="2:8" x14ac:dyDescent="0.35">
      <c r="B630" s="38"/>
      <c r="C630" s="38"/>
      <c r="D630" s="38"/>
      <c r="E630" s="38"/>
      <c r="F630" s="38"/>
      <c r="G630" s="38"/>
      <c r="H630" s="38"/>
    </row>
    <row r="631" spans="2:8" x14ac:dyDescent="0.35">
      <c r="B631" s="38"/>
      <c r="C631" s="38"/>
      <c r="D631" s="38"/>
      <c r="E631" s="38"/>
      <c r="F631" s="38"/>
      <c r="G631" s="38"/>
      <c r="H631" s="38"/>
    </row>
    <row r="632" spans="2:8" x14ac:dyDescent="0.35">
      <c r="B632" s="38"/>
      <c r="C632" s="38"/>
      <c r="D632" s="38"/>
      <c r="E632" s="38"/>
      <c r="F632" s="38"/>
      <c r="G632" s="38"/>
      <c r="H632" s="38"/>
    </row>
    <row r="633" spans="2:8" x14ac:dyDescent="0.35">
      <c r="B633" s="38"/>
      <c r="C633" s="38"/>
      <c r="D633" s="38"/>
      <c r="E633" s="38"/>
      <c r="F633" s="38"/>
      <c r="G633" s="38"/>
      <c r="H633" s="38"/>
    </row>
    <row r="634" spans="2:8" x14ac:dyDescent="0.35">
      <c r="B634" s="38"/>
      <c r="C634" s="38"/>
      <c r="D634" s="38"/>
      <c r="E634" s="38"/>
      <c r="F634" s="38"/>
      <c r="G634" s="38"/>
      <c r="H634" s="38"/>
    </row>
    <row r="635" spans="2:8" x14ac:dyDescent="0.35">
      <c r="B635" s="38"/>
      <c r="C635" s="38"/>
      <c r="D635" s="38"/>
      <c r="E635" s="38"/>
      <c r="F635" s="38"/>
      <c r="G635" s="38"/>
      <c r="H635" s="38"/>
    </row>
    <row r="636" spans="2:8" x14ac:dyDescent="0.35">
      <c r="B636" s="38"/>
      <c r="C636" s="38"/>
      <c r="D636" s="38"/>
      <c r="E636" s="38"/>
      <c r="F636" s="38"/>
      <c r="G636" s="38"/>
      <c r="H636" s="38"/>
    </row>
    <row r="637" spans="2:8" x14ac:dyDescent="0.35">
      <c r="B637" s="38"/>
      <c r="C637" s="38"/>
      <c r="D637" s="38"/>
      <c r="E637" s="38"/>
      <c r="F637" s="38"/>
      <c r="G637" s="38"/>
      <c r="H637" s="38"/>
    </row>
    <row r="638" spans="2:8" x14ac:dyDescent="0.35">
      <c r="B638" s="38"/>
      <c r="C638" s="38"/>
      <c r="D638" s="38"/>
      <c r="E638" s="38"/>
      <c r="F638" s="38"/>
      <c r="G638" s="38"/>
      <c r="H638" s="38"/>
    </row>
    <row r="639" spans="2:8" x14ac:dyDescent="0.35">
      <c r="B639" s="38"/>
      <c r="C639" s="38"/>
      <c r="D639" s="38"/>
      <c r="E639" s="38"/>
      <c r="F639" s="38"/>
      <c r="G639" s="38"/>
      <c r="H639" s="38"/>
    </row>
    <row r="640" spans="2:8" x14ac:dyDescent="0.35">
      <c r="B640" s="38"/>
      <c r="C640" s="38"/>
      <c r="D640" s="38"/>
      <c r="E640" s="38"/>
      <c r="F640" s="38"/>
      <c r="G640" s="38"/>
      <c r="H640" s="38"/>
    </row>
    <row r="641" spans="2:8" x14ac:dyDescent="0.35">
      <c r="B641" s="38"/>
      <c r="C641" s="38"/>
      <c r="D641" s="38"/>
      <c r="E641" s="38"/>
      <c r="F641" s="38"/>
      <c r="G641" s="38"/>
      <c r="H641" s="38"/>
    </row>
    <row r="642" spans="2:8" x14ac:dyDescent="0.35">
      <c r="B642" s="38"/>
      <c r="C642" s="38"/>
      <c r="D642" s="38"/>
      <c r="E642" s="38"/>
      <c r="F642" s="38"/>
      <c r="G642" s="38"/>
      <c r="H642" s="38"/>
    </row>
    <row r="643" spans="2:8" x14ac:dyDescent="0.35">
      <c r="B643" s="38"/>
      <c r="C643" s="38"/>
      <c r="D643" s="38"/>
      <c r="E643" s="38"/>
      <c r="F643" s="38"/>
      <c r="G643" s="38"/>
      <c r="H643" s="38"/>
    </row>
    <row r="644" spans="2:8" x14ac:dyDescent="0.35">
      <c r="B644" s="38"/>
      <c r="C644" s="38"/>
      <c r="D644" s="38"/>
      <c r="E644" s="38"/>
      <c r="F644" s="38"/>
      <c r="G644" s="38"/>
      <c r="H644" s="38"/>
    </row>
    <row r="645" spans="2:8" x14ac:dyDescent="0.35">
      <c r="B645" s="38"/>
      <c r="C645" s="38"/>
      <c r="D645" s="38"/>
      <c r="E645" s="38"/>
      <c r="F645" s="38"/>
      <c r="G645" s="38"/>
      <c r="H645" s="38"/>
    </row>
    <row r="646" spans="2:8" x14ac:dyDescent="0.35">
      <c r="B646" s="38"/>
      <c r="C646" s="38"/>
      <c r="D646" s="38"/>
      <c r="E646" s="38"/>
      <c r="F646" s="38"/>
      <c r="G646" s="38"/>
      <c r="H646" s="38"/>
    </row>
    <row r="647" spans="2:8" x14ac:dyDescent="0.35">
      <c r="B647" s="38"/>
      <c r="C647" s="38"/>
      <c r="D647" s="38"/>
      <c r="E647" s="38"/>
      <c r="F647" s="38"/>
      <c r="G647" s="38"/>
      <c r="H647" s="38"/>
    </row>
    <row r="648" spans="2:8" x14ac:dyDescent="0.35">
      <c r="B648" s="38"/>
      <c r="C648" s="38"/>
      <c r="D648" s="38"/>
      <c r="E648" s="38"/>
      <c r="F648" s="38"/>
      <c r="G648" s="38"/>
      <c r="H648" s="38"/>
    </row>
    <row r="649" spans="2:8" x14ac:dyDescent="0.35">
      <c r="B649" s="38"/>
      <c r="C649" s="38"/>
      <c r="D649" s="38"/>
      <c r="E649" s="38"/>
      <c r="F649" s="38"/>
      <c r="G649" s="38"/>
      <c r="H649" s="38"/>
    </row>
    <row r="650" spans="2:8" x14ac:dyDescent="0.35">
      <c r="B650" s="38"/>
      <c r="C650" s="38"/>
      <c r="D650" s="38"/>
      <c r="E650" s="38"/>
      <c r="F650" s="38"/>
      <c r="G650" s="38"/>
      <c r="H650" s="38"/>
    </row>
    <row r="651" spans="2:8" x14ac:dyDescent="0.35">
      <c r="B651" s="38"/>
      <c r="C651" s="38"/>
      <c r="D651" s="38"/>
      <c r="E651" s="38"/>
      <c r="F651" s="38"/>
      <c r="G651" s="38"/>
      <c r="H651" s="38"/>
    </row>
    <row r="652" spans="2:8" x14ac:dyDescent="0.35">
      <c r="B652" s="38"/>
      <c r="C652" s="38"/>
      <c r="D652" s="38"/>
      <c r="E652" s="38"/>
      <c r="F652" s="38"/>
      <c r="G652" s="38"/>
      <c r="H652" s="38"/>
    </row>
    <row r="653" spans="2:8" x14ac:dyDescent="0.35">
      <c r="B653" s="38"/>
      <c r="C653" s="38"/>
      <c r="D653" s="38"/>
      <c r="E653" s="38"/>
      <c r="F653" s="38"/>
      <c r="G653" s="38"/>
      <c r="H653" s="38"/>
    </row>
    <row r="654" spans="2:8" x14ac:dyDescent="0.35">
      <c r="B654" s="38"/>
      <c r="C654" s="38"/>
      <c r="D654" s="38"/>
      <c r="E654" s="38"/>
      <c r="F654" s="38"/>
      <c r="G654" s="38"/>
      <c r="H654" s="38"/>
    </row>
    <row r="655" spans="2:8" x14ac:dyDescent="0.35">
      <c r="B655" s="38"/>
      <c r="C655" s="38"/>
      <c r="D655" s="38"/>
      <c r="E655" s="38"/>
      <c r="F655" s="38"/>
      <c r="G655" s="38"/>
      <c r="H655" s="38"/>
    </row>
    <row r="656" spans="2:8" x14ac:dyDescent="0.35">
      <c r="B656" s="38"/>
      <c r="C656" s="38"/>
      <c r="D656" s="38"/>
      <c r="E656" s="38"/>
      <c r="F656" s="38"/>
      <c r="G656" s="38"/>
      <c r="H656" s="38"/>
    </row>
    <row r="657" spans="2:8" x14ac:dyDescent="0.35">
      <c r="B657" s="38"/>
      <c r="C657" s="38"/>
      <c r="D657" s="38"/>
      <c r="E657" s="38"/>
      <c r="F657" s="38"/>
      <c r="G657" s="38"/>
      <c r="H657" s="38"/>
    </row>
    <row r="658" spans="2:8" x14ac:dyDescent="0.35">
      <c r="B658" s="38"/>
      <c r="C658" s="38"/>
      <c r="D658" s="38"/>
      <c r="E658" s="38"/>
      <c r="F658" s="38"/>
      <c r="G658" s="38"/>
      <c r="H658" s="38"/>
    </row>
    <row r="659" spans="2:8" x14ac:dyDescent="0.35">
      <c r="B659" s="38"/>
      <c r="C659" s="38"/>
      <c r="D659" s="38"/>
      <c r="E659" s="38"/>
      <c r="F659" s="38"/>
      <c r="G659" s="38"/>
      <c r="H659" s="38"/>
    </row>
    <row r="660" spans="2:8" x14ac:dyDescent="0.35">
      <c r="B660" s="38"/>
      <c r="C660" s="38"/>
      <c r="D660" s="38"/>
      <c r="E660" s="38"/>
      <c r="F660" s="38"/>
      <c r="G660" s="38"/>
      <c r="H660" s="38"/>
    </row>
    <row r="661" spans="2:8" x14ac:dyDescent="0.35">
      <c r="B661" s="38"/>
      <c r="C661" s="38"/>
      <c r="D661" s="38"/>
      <c r="E661" s="38"/>
      <c r="F661" s="38"/>
      <c r="G661" s="38"/>
      <c r="H661" s="38"/>
    </row>
    <row r="662" spans="2:8" x14ac:dyDescent="0.35">
      <c r="B662" s="38"/>
      <c r="C662" s="38"/>
      <c r="D662" s="38"/>
      <c r="E662" s="38"/>
      <c r="F662" s="38"/>
      <c r="G662" s="38"/>
      <c r="H662" s="38"/>
    </row>
    <row r="663" spans="2:8" x14ac:dyDescent="0.35">
      <c r="B663" s="38"/>
      <c r="C663" s="38"/>
      <c r="D663" s="38"/>
      <c r="E663" s="38"/>
      <c r="F663" s="38"/>
      <c r="G663" s="38"/>
      <c r="H663" s="38"/>
    </row>
    <row r="664" spans="2:8" x14ac:dyDescent="0.35">
      <c r="B664" s="38"/>
      <c r="C664" s="38"/>
      <c r="D664" s="38"/>
      <c r="E664" s="38"/>
      <c r="F664" s="38"/>
      <c r="G664" s="38"/>
      <c r="H664" s="38"/>
    </row>
    <row r="665" spans="2:8" x14ac:dyDescent="0.35">
      <c r="B665" s="38"/>
      <c r="C665" s="38"/>
      <c r="D665" s="38"/>
      <c r="E665" s="38"/>
      <c r="F665" s="38"/>
      <c r="G665" s="38"/>
      <c r="H665" s="38"/>
    </row>
    <row r="666" spans="2:8" x14ac:dyDescent="0.35">
      <c r="B666" s="38"/>
      <c r="C666" s="38"/>
      <c r="D666" s="38"/>
      <c r="E666" s="38"/>
      <c r="F666" s="38"/>
      <c r="G666" s="38"/>
      <c r="H666" s="38"/>
    </row>
    <row r="667" spans="2:8" x14ac:dyDescent="0.35">
      <c r="B667" s="38"/>
      <c r="C667" s="38"/>
      <c r="D667" s="38"/>
      <c r="E667" s="38"/>
      <c r="F667" s="38"/>
      <c r="G667" s="38"/>
      <c r="H667" s="38"/>
    </row>
    <row r="668" spans="2:8" x14ac:dyDescent="0.35">
      <c r="B668" s="38"/>
      <c r="C668" s="38"/>
      <c r="D668" s="38"/>
      <c r="E668" s="38"/>
      <c r="F668" s="38"/>
      <c r="G668" s="38"/>
      <c r="H668" s="38"/>
    </row>
    <row r="669" spans="2:8" x14ac:dyDescent="0.35">
      <c r="B669" s="38"/>
      <c r="C669" s="38"/>
      <c r="D669" s="38"/>
      <c r="E669" s="38"/>
      <c r="F669" s="38"/>
      <c r="G669" s="38"/>
      <c r="H669" s="38"/>
    </row>
    <row r="670" spans="2:8" x14ac:dyDescent="0.35">
      <c r="B670" s="38"/>
      <c r="C670" s="38"/>
      <c r="D670" s="38"/>
      <c r="E670" s="38"/>
      <c r="F670" s="38"/>
      <c r="G670" s="38"/>
      <c r="H670" s="38"/>
    </row>
    <row r="671" spans="2:8" x14ac:dyDescent="0.35">
      <c r="B671" s="38"/>
      <c r="C671" s="38"/>
      <c r="D671" s="38"/>
      <c r="E671" s="38"/>
      <c r="F671" s="38"/>
      <c r="G671" s="38"/>
      <c r="H671" s="38"/>
    </row>
    <row r="672" spans="2:8" x14ac:dyDescent="0.35">
      <c r="B672" s="38"/>
      <c r="C672" s="38"/>
      <c r="D672" s="38"/>
      <c r="E672" s="38"/>
      <c r="F672" s="38"/>
      <c r="G672" s="38"/>
      <c r="H672" s="38"/>
    </row>
    <row r="673" spans="2:8" x14ac:dyDescent="0.35">
      <c r="B673" s="38"/>
      <c r="C673" s="38"/>
      <c r="D673" s="38"/>
      <c r="E673" s="38"/>
      <c r="F673" s="38"/>
      <c r="G673" s="38"/>
      <c r="H673" s="38"/>
    </row>
    <row r="674" spans="2:8" x14ac:dyDescent="0.35">
      <c r="B674" s="38"/>
      <c r="C674" s="38"/>
      <c r="D674" s="38"/>
      <c r="E674" s="38"/>
      <c r="F674" s="38"/>
      <c r="G674" s="38"/>
      <c r="H674" s="38"/>
    </row>
    <row r="675" spans="2:8" x14ac:dyDescent="0.35">
      <c r="B675" s="38"/>
      <c r="C675" s="38"/>
      <c r="D675" s="38"/>
      <c r="E675" s="38"/>
      <c r="F675" s="38"/>
      <c r="G675" s="38"/>
      <c r="H675" s="38"/>
    </row>
    <row r="676" spans="2:8" x14ac:dyDescent="0.35">
      <c r="B676" s="38"/>
      <c r="C676" s="38"/>
      <c r="D676" s="38"/>
      <c r="E676" s="38"/>
      <c r="F676" s="38"/>
      <c r="G676" s="38"/>
      <c r="H676" s="38"/>
    </row>
    <row r="677" spans="2:8" x14ac:dyDescent="0.35">
      <c r="B677" s="38"/>
      <c r="C677" s="38"/>
      <c r="D677" s="38"/>
      <c r="E677" s="38"/>
      <c r="F677" s="38"/>
      <c r="G677" s="38"/>
      <c r="H677" s="38"/>
    </row>
    <row r="678" spans="2:8" x14ac:dyDescent="0.35">
      <c r="B678" s="38"/>
      <c r="C678" s="38"/>
      <c r="D678" s="38"/>
      <c r="E678" s="38"/>
      <c r="F678" s="38"/>
      <c r="G678" s="38"/>
      <c r="H678" s="38"/>
    </row>
    <row r="679" spans="2:8" x14ac:dyDescent="0.35">
      <c r="B679" s="38"/>
      <c r="C679" s="38"/>
      <c r="D679" s="38"/>
      <c r="E679" s="38"/>
      <c r="F679" s="38"/>
      <c r="G679" s="38"/>
      <c r="H679" s="38"/>
    </row>
    <row r="680" spans="2:8" x14ac:dyDescent="0.35">
      <c r="B680" s="38"/>
      <c r="C680" s="38"/>
      <c r="D680" s="38"/>
      <c r="E680" s="38"/>
      <c r="F680" s="38"/>
      <c r="G680" s="38"/>
      <c r="H680" s="38"/>
    </row>
    <row r="681" spans="2:8" x14ac:dyDescent="0.35">
      <c r="B681" s="38"/>
      <c r="C681" s="38"/>
      <c r="D681" s="38"/>
      <c r="E681" s="38"/>
      <c r="F681" s="38"/>
      <c r="G681" s="38"/>
      <c r="H681" s="38"/>
    </row>
    <row r="682" spans="2:8" x14ac:dyDescent="0.35">
      <c r="B682" s="38"/>
      <c r="C682" s="38"/>
      <c r="D682" s="38"/>
      <c r="E682" s="38"/>
      <c r="F682" s="38"/>
      <c r="G682" s="38"/>
      <c r="H682" s="38"/>
    </row>
    <row r="683" spans="2:8" x14ac:dyDescent="0.35">
      <c r="B683" s="38"/>
      <c r="C683" s="38"/>
      <c r="D683" s="38"/>
      <c r="E683" s="38"/>
      <c r="F683" s="38"/>
      <c r="G683" s="38"/>
      <c r="H683" s="38"/>
    </row>
    <row r="684" spans="2:8" x14ac:dyDescent="0.35">
      <c r="B684" s="38"/>
      <c r="C684" s="38"/>
      <c r="D684" s="38"/>
      <c r="E684" s="38"/>
      <c r="F684" s="38"/>
      <c r="G684" s="38"/>
      <c r="H684" s="38"/>
    </row>
    <row r="685" spans="2:8" x14ac:dyDescent="0.35">
      <c r="B685" s="38"/>
      <c r="C685" s="38"/>
      <c r="D685" s="38"/>
      <c r="E685" s="38"/>
      <c r="F685" s="38"/>
      <c r="G685" s="38"/>
      <c r="H685" s="38"/>
    </row>
    <row r="686" spans="2:8" x14ac:dyDescent="0.35">
      <c r="B686" s="38"/>
      <c r="C686" s="38"/>
      <c r="D686" s="38"/>
      <c r="E686" s="38"/>
      <c r="F686" s="38"/>
      <c r="G686" s="38"/>
      <c r="H686" s="38"/>
    </row>
    <row r="687" spans="2:8" x14ac:dyDescent="0.35">
      <c r="B687" s="38"/>
      <c r="C687" s="38"/>
      <c r="D687" s="38"/>
      <c r="E687" s="38"/>
      <c r="F687" s="38"/>
      <c r="G687" s="38"/>
      <c r="H687" s="38"/>
    </row>
    <row r="688" spans="2:8" x14ac:dyDescent="0.35">
      <c r="B688" s="38"/>
      <c r="C688" s="38"/>
      <c r="D688" s="38"/>
      <c r="E688" s="38"/>
      <c r="F688" s="38"/>
      <c r="G688" s="38"/>
      <c r="H688" s="38"/>
    </row>
    <row r="689" spans="2:8" x14ac:dyDescent="0.35">
      <c r="B689" s="38"/>
      <c r="C689" s="38"/>
      <c r="D689" s="38"/>
      <c r="E689" s="38"/>
      <c r="F689" s="38"/>
      <c r="G689" s="38"/>
      <c r="H689" s="38"/>
    </row>
    <row r="690" spans="2:8" x14ac:dyDescent="0.35">
      <c r="B690" s="38"/>
      <c r="C690" s="38"/>
      <c r="D690" s="38"/>
      <c r="E690" s="38"/>
      <c r="F690" s="38"/>
      <c r="G690" s="38"/>
      <c r="H690" s="38"/>
    </row>
    <row r="691" spans="2:8" x14ac:dyDescent="0.35">
      <c r="B691" s="38"/>
      <c r="C691" s="38"/>
      <c r="D691" s="38"/>
      <c r="E691" s="38"/>
      <c r="F691" s="38"/>
      <c r="G691" s="38"/>
      <c r="H691" s="38"/>
    </row>
    <row r="692" spans="2:8" x14ac:dyDescent="0.35">
      <c r="B692" s="38"/>
      <c r="C692" s="38"/>
      <c r="D692" s="38"/>
      <c r="E692" s="38"/>
      <c r="F692" s="38"/>
      <c r="G692" s="38"/>
      <c r="H692" s="38"/>
    </row>
    <row r="693" spans="2:8" x14ac:dyDescent="0.35">
      <c r="B693" s="38"/>
      <c r="C693" s="38"/>
      <c r="D693" s="38"/>
      <c r="E693" s="38"/>
      <c r="F693" s="38"/>
      <c r="G693" s="38"/>
      <c r="H693" s="38"/>
    </row>
    <row r="694" spans="2:8" x14ac:dyDescent="0.35">
      <c r="B694" s="38"/>
      <c r="C694" s="38"/>
      <c r="D694" s="38"/>
      <c r="E694" s="38"/>
      <c r="F694" s="38"/>
      <c r="G694" s="38"/>
      <c r="H694" s="38"/>
    </row>
    <row r="695" spans="2:8" x14ac:dyDescent="0.35">
      <c r="B695" s="38"/>
      <c r="C695" s="38"/>
      <c r="D695" s="38"/>
      <c r="E695" s="38"/>
      <c r="F695" s="38"/>
      <c r="G695" s="38"/>
      <c r="H695" s="38"/>
    </row>
    <row r="696" spans="2:8" x14ac:dyDescent="0.35">
      <c r="B696" s="38"/>
      <c r="C696" s="38"/>
      <c r="D696" s="38"/>
      <c r="E696" s="38"/>
      <c r="F696" s="38"/>
      <c r="G696" s="38"/>
      <c r="H696" s="38"/>
    </row>
    <row r="697" spans="2:8" x14ac:dyDescent="0.35">
      <c r="B697" s="38"/>
      <c r="C697" s="38"/>
      <c r="D697" s="38"/>
      <c r="E697" s="38"/>
      <c r="F697" s="38"/>
      <c r="G697" s="38"/>
      <c r="H697" s="38"/>
    </row>
    <row r="698" spans="2:8" x14ac:dyDescent="0.35">
      <c r="B698" s="38"/>
      <c r="C698" s="38"/>
      <c r="D698" s="38"/>
      <c r="E698" s="38"/>
      <c r="F698" s="38"/>
      <c r="G698" s="38"/>
      <c r="H698" s="38"/>
    </row>
    <row r="699" spans="2:8" x14ac:dyDescent="0.35">
      <c r="B699" s="38"/>
      <c r="C699" s="38"/>
      <c r="D699" s="38"/>
      <c r="E699" s="38"/>
      <c r="F699" s="38"/>
      <c r="G699" s="38"/>
      <c r="H699" s="38"/>
    </row>
    <row r="700" spans="2:8" x14ac:dyDescent="0.35">
      <c r="B700" s="38"/>
      <c r="C700" s="38"/>
      <c r="D700" s="38"/>
      <c r="E700" s="38"/>
      <c r="F700" s="38"/>
      <c r="G700" s="38"/>
      <c r="H700" s="38"/>
    </row>
    <row r="701" spans="2:8" x14ac:dyDescent="0.35">
      <c r="B701" s="38"/>
      <c r="C701" s="38"/>
      <c r="D701" s="38"/>
      <c r="E701" s="38"/>
      <c r="F701" s="38"/>
      <c r="G701" s="38"/>
      <c r="H701" s="38"/>
    </row>
    <row r="702" spans="2:8" x14ac:dyDescent="0.35">
      <c r="B702" s="38"/>
      <c r="C702" s="38"/>
      <c r="D702" s="38"/>
      <c r="E702" s="38"/>
      <c r="F702" s="38"/>
      <c r="G702" s="38"/>
      <c r="H702" s="38"/>
    </row>
    <row r="703" spans="2:8" x14ac:dyDescent="0.35">
      <c r="B703" s="38"/>
      <c r="C703" s="38"/>
      <c r="D703" s="38"/>
      <c r="E703" s="38"/>
      <c r="F703" s="38"/>
      <c r="G703" s="38"/>
      <c r="H703" s="38"/>
    </row>
    <row r="704" spans="2:8" x14ac:dyDescent="0.35">
      <c r="B704" s="38"/>
      <c r="C704" s="38"/>
      <c r="D704" s="38"/>
      <c r="E704" s="38"/>
      <c r="F704" s="38"/>
      <c r="G704" s="38"/>
      <c r="H704" s="38"/>
    </row>
    <row r="705" spans="2:8" x14ac:dyDescent="0.35">
      <c r="B705" s="38"/>
      <c r="C705" s="38"/>
      <c r="D705" s="38"/>
      <c r="E705" s="38"/>
      <c r="F705" s="38"/>
      <c r="G705" s="38"/>
      <c r="H705" s="38"/>
    </row>
    <row r="706" spans="2:8" x14ac:dyDescent="0.35">
      <c r="B706" s="38"/>
      <c r="C706" s="38"/>
      <c r="D706" s="38"/>
      <c r="E706" s="38"/>
      <c r="F706" s="38"/>
      <c r="G706" s="38"/>
      <c r="H706" s="38"/>
    </row>
    <row r="707" spans="2:8" x14ac:dyDescent="0.35">
      <c r="B707" s="38"/>
      <c r="C707" s="38"/>
      <c r="D707" s="38"/>
      <c r="E707" s="38"/>
      <c r="F707" s="38"/>
      <c r="G707" s="38"/>
      <c r="H707" s="38"/>
    </row>
    <row r="708" spans="2:8" x14ac:dyDescent="0.35">
      <c r="B708" s="38"/>
      <c r="C708" s="38"/>
      <c r="D708" s="38"/>
      <c r="E708" s="38"/>
      <c r="F708" s="38"/>
      <c r="G708" s="38"/>
      <c r="H708" s="38"/>
    </row>
    <row r="709" spans="2:8" x14ac:dyDescent="0.35">
      <c r="B709" s="38"/>
      <c r="C709" s="38"/>
      <c r="D709" s="38"/>
      <c r="E709" s="38"/>
      <c r="F709" s="38"/>
      <c r="G709" s="38"/>
      <c r="H709" s="38"/>
    </row>
    <row r="710" spans="2:8" x14ac:dyDescent="0.35">
      <c r="B710" s="38"/>
      <c r="C710" s="38"/>
      <c r="D710" s="38"/>
      <c r="E710" s="38"/>
      <c r="F710" s="38"/>
      <c r="G710" s="38"/>
      <c r="H710" s="38"/>
    </row>
    <row r="711" spans="2:8" x14ac:dyDescent="0.35">
      <c r="B711" s="38"/>
      <c r="C711" s="38"/>
      <c r="D711" s="38"/>
      <c r="E711" s="38"/>
      <c r="F711" s="38"/>
      <c r="G711" s="38"/>
      <c r="H711" s="38"/>
    </row>
    <row r="712" spans="2:8" x14ac:dyDescent="0.35">
      <c r="B712" s="38"/>
      <c r="C712" s="38"/>
      <c r="D712" s="38"/>
      <c r="E712" s="38"/>
      <c r="F712" s="38"/>
      <c r="G712" s="38"/>
      <c r="H712" s="38"/>
    </row>
    <row r="713" spans="2:8" x14ac:dyDescent="0.35">
      <c r="B713" s="38"/>
      <c r="C713" s="38"/>
      <c r="D713" s="38"/>
      <c r="E713" s="38"/>
      <c r="F713" s="38"/>
      <c r="G713" s="38"/>
      <c r="H713" s="38"/>
    </row>
    <row r="714" spans="2:8" x14ac:dyDescent="0.35">
      <c r="B714" s="38"/>
      <c r="C714" s="38"/>
      <c r="D714" s="38"/>
      <c r="E714" s="38"/>
      <c r="F714" s="38"/>
      <c r="G714" s="38"/>
      <c r="H714" s="38"/>
    </row>
    <row r="715" spans="2:8" x14ac:dyDescent="0.35">
      <c r="B715" s="38"/>
      <c r="C715" s="38"/>
      <c r="D715" s="38"/>
      <c r="E715" s="38"/>
      <c r="F715" s="38"/>
      <c r="G715" s="38"/>
      <c r="H715" s="38"/>
    </row>
    <row r="716" spans="2:8" x14ac:dyDescent="0.35">
      <c r="B716" s="38"/>
      <c r="C716" s="38"/>
      <c r="D716" s="38"/>
      <c r="E716" s="38"/>
      <c r="F716" s="38"/>
      <c r="G716" s="38"/>
      <c r="H716" s="38"/>
    </row>
    <row r="717" spans="2:8" x14ac:dyDescent="0.35">
      <c r="B717" s="38"/>
      <c r="C717" s="38"/>
      <c r="D717" s="38"/>
      <c r="E717" s="38"/>
      <c r="F717" s="38"/>
      <c r="G717" s="38"/>
      <c r="H717" s="38"/>
    </row>
    <row r="718" spans="2:8" x14ac:dyDescent="0.35">
      <c r="B718" s="38"/>
      <c r="C718" s="38"/>
      <c r="D718" s="38"/>
      <c r="E718" s="38"/>
      <c r="F718" s="38"/>
      <c r="G718" s="38"/>
      <c r="H718" s="38"/>
    </row>
    <row r="719" spans="2:8" x14ac:dyDescent="0.35">
      <c r="B719" s="38"/>
      <c r="C719" s="38"/>
      <c r="D719" s="38"/>
      <c r="E719" s="38"/>
      <c r="F719" s="38"/>
      <c r="G719" s="38"/>
      <c r="H719" s="38"/>
    </row>
    <row r="720" spans="2:8" x14ac:dyDescent="0.35">
      <c r="B720" s="38"/>
      <c r="C720" s="38"/>
      <c r="D720" s="38"/>
      <c r="E720" s="38"/>
      <c r="F720" s="38"/>
      <c r="G720" s="38"/>
      <c r="H720" s="38"/>
    </row>
    <row r="721" spans="2:8" x14ac:dyDescent="0.35">
      <c r="B721" s="38"/>
      <c r="C721" s="38"/>
      <c r="D721" s="38"/>
      <c r="E721" s="38"/>
      <c r="F721" s="38"/>
      <c r="G721" s="38"/>
      <c r="H721" s="38"/>
    </row>
    <row r="722" spans="2:8" x14ac:dyDescent="0.35">
      <c r="B722" s="38"/>
      <c r="C722" s="38"/>
      <c r="D722" s="38"/>
      <c r="E722" s="38"/>
      <c r="F722" s="38"/>
      <c r="G722" s="38"/>
      <c r="H722" s="38"/>
    </row>
    <row r="723" spans="2:8" x14ac:dyDescent="0.35">
      <c r="B723" s="38"/>
      <c r="C723" s="38"/>
      <c r="D723" s="38"/>
      <c r="E723" s="38"/>
      <c r="F723" s="38"/>
      <c r="G723" s="38"/>
      <c r="H723" s="38"/>
    </row>
    <row r="724" spans="2:8" x14ac:dyDescent="0.35">
      <c r="B724" s="38"/>
      <c r="C724" s="38"/>
      <c r="D724" s="38"/>
      <c r="E724" s="38"/>
      <c r="F724" s="38"/>
      <c r="G724" s="38"/>
      <c r="H724" s="38"/>
    </row>
    <row r="725" spans="2:8" x14ac:dyDescent="0.35">
      <c r="B725" s="38"/>
      <c r="C725" s="38"/>
      <c r="D725" s="38"/>
      <c r="E725" s="38"/>
      <c r="F725" s="38"/>
      <c r="G725" s="38"/>
      <c r="H725" s="38"/>
    </row>
    <row r="726" spans="2:8" x14ac:dyDescent="0.35">
      <c r="B726" s="38"/>
      <c r="C726" s="38"/>
      <c r="D726" s="38"/>
      <c r="E726" s="38"/>
      <c r="F726" s="38"/>
      <c r="G726" s="38"/>
      <c r="H726" s="38"/>
    </row>
    <row r="727" spans="2:8" x14ac:dyDescent="0.35">
      <c r="B727" s="38"/>
      <c r="C727" s="38"/>
      <c r="D727" s="38"/>
      <c r="E727" s="38"/>
      <c r="F727" s="38"/>
      <c r="G727" s="38"/>
      <c r="H727" s="38"/>
    </row>
    <row r="728" spans="2:8" x14ac:dyDescent="0.35">
      <c r="B728" s="38"/>
      <c r="C728" s="38"/>
      <c r="D728" s="38"/>
      <c r="E728" s="38"/>
      <c r="F728" s="38"/>
      <c r="G728" s="38"/>
      <c r="H728" s="38"/>
    </row>
    <row r="729" spans="2:8" x14ac:dyDescent="0.35">
      <c r="B729" s="38"/>
      <c r="C729" s="38"/>
      <c r="D729" s="38"/>
      <c r="E729" s="38"/>
      <c r="F729" s="38"/>
      <c r="G729" s="38"/>
      <c r="H729" s="38"/>
    </row>
    <row r="730" spans="2:8" x14ac:dyDescent="0.35">
      <c r="B730" s="38"/>
      <c r="C730" s="38"/>
      <c r="D730" s="38"/>
      <c r="E730" s="38"/>
      <c r="F730" s="38"/>
      <c r="G730" s="38"/>
      <c r="H730" s="38"/>
    </row>
    <row r="731" spans="2:8" x14ac:dyDescent="0.35">
      <c r="B731" s="38"/>
      <c r="C731" s="38"/>
      <c r="D731" s="38"/>
      <c r="E731" s="38"/>
      <c r="F731" s="38"/>
      <c r="G731" s="38"/>
      <c r="H731" s="38"/>
    </row>
    <row r="732" spans="2:8" x14ac:dyDescent="0.35">
      <c r="B732" s="38"/>
      <c r="C732" s="38"/>
      <c r="D732" s="38"/>
      <c r="E732" s="38"/>
      <c r="F732" s="38"/>
      <c r="G732" s="38"/>
      <c r="H732" s="38"/>
    </row>
    <row r="733" spans="2:8" x14ac:dyDescent="0.35">
      <c r="B733" s="38"/>
      <c r="C733" s="38"/>
      <c r="D733" s="38"/>
      <c r="E733" s="38"/>
      <c r="F733" s="38"/>
      <c r="G733" s="38"/>
      <c r="H733" s="38"/>
    </row>
    <row r="734" spans="2:8" x14ac:dyDescent="0.35">
      <c r="B734" s="38"/>
      <c r="C734" s="38"/>
      <c r="D734" s="38"/>
      <c r="E734" s="38"/>
      <c r="F734" s="38"/>
      <c r="G734" s="38"/>
      <c r="H734" s="38"/>
    </row>
    <row r="735" spans="2:8" x14ac:dyDescent="0.35">
      <c r="B735" s="38"/>
      <c r="C735" s="38"/>
      <c r="D735" s="38"/>
      <c r="E735" s="38"/>
      <c r="F735" s="38"/>
      <c r="G735" s="38"/>
      <c r="H735" s="38"/>
    </row>
    <row r="736" spans="2:8" x14ac:dyDescent="0.35">
      <c r="B736" s="38"/>
      <c r="C736" s="38"/>
      <c r="D736" s="38"/>
      <c r="E736" s="38"/>
      <c r="F736" s="38"/>
      <c r="G736" s="38"/>
      <c r="H736" s="38"/>
    </row>
    <row r="737" spans="2:8" x14ac:dyDescent="0.35">
      <c r="B737" s="38"/>
      <c r="C737" s="38"/>
      <c r="D737" s="38"/>
      <c r="E737" s="38"/>
      <c r="F737" s="38"/>
      <c r="G737" s="38"/>
      <c r="H737" s="38"/>
    </row>
    <row r="738" spans="2:8" x14ac:dyDescent="0.35">
      <c r="B738" s="38"/>
      <c r="C738" s="38"/>
      <c r="D738" s="38"/>
      <c r="E738" s="38"/>
      <c r="F738" s="38"/>
      <c r="G738" s="38"/>
      <c r="H738" s="38"/>
    </row>
    <row r="739" spans="2:8" x14ac:dyDescent="0.35">
      <c r="B739" s="38"/>
      <c r="C739" s="38"/>
      <c r="D739" s="38"/>
      <c r="E739" s="38"/>
      <c r="F739" s="38"/>
      <c r="G739" s="38"/>
      <c r="H739" s="38"/>
    </row>
    <row r="740" spans="2:8" x14ac:dyDescent="0.35">
      <c r="B740" s="38"/>
      <c r="C740" s="38"/>
      <c r="D740" s="38"/>
      <c r="E740" s="38"/>
      <c r="F740" s="38"/>
      <c r="G740" s="38"/>
      <c r="H740" s="38"/>
    </row>
    <row r="741" spans="2:8" x14ac:dyDescent="0.35">
      <c r="B741" s="38"/>
      <c r="C741" s="38"/>
      <c r="D741" s="38"/>
      <c r="E741" s="38"/>
      <c r="F741" s="38"/>
      <c r="G741" s="38"/>
      <c r="H741" s="38"/>
    </row>
    <row r="742" spans="2:8" x14ac:dyDescent="0.35">
      <c r="B742" s="38"/>
      <c r="C742" s="38"/>
      <c r="D742" s="38"/>
      <c r="E742" s="38"/>
      <c r="F742" s="38"/>
      <c r="G742" s="38"/>
      <c r="H742" s="38"/>
    </row>
    <row r="743" spans="2:8" x14ac:dyDescent="0.35">
      <c r="B743" s="38"/>
      <c r="C743" s="38"/>
      <c r="D743" s="38"/>
      <c r="E743" s="38"/>
      <c r="F743" s="38"/>
      <c r="G743" s="38"/>
      <c r="H743" s="38"/>
    </row>
    <row r="744" spans="2:8" x14ac:dyDescent="0.35">
      <c r="B744" s="38"/>
      <c r="C744" s="38"/>
      <c r="D744" s="38"/>
      <c r="E744" s="38"/>
      <c r="F744" s="38"/>
      <c r="G744" s="38"/>
      <c r="H744" s="38"/>
    </row>
    <row r="745" spans="2:8" x14ac:dyDescent="0.35">
      <c r="B745" s="38"/>
      <c r="C745" s="38"/>
      <c r="D745" s="38"/>
      <c r="E745" s="38"/>
      <c r="F745" s="38"/>
      <c r="G745" s="38"/>
      <c r="H745" s="38"/>
    </row>
    <row r="746" spans="2:8" x14ac:dyDescent="0.35">
      <c r="B746" s="38"/>
      <c r="C746" s="38"/>
      <c r="D746" s="38"/>
      <c r="E746" s="38"/>
      <c r="F746" s="38"/>
      <c r="G746" s="38"/>
      <c r="H746" s="38"/>
    </row>
    <row r="747" spans="2:8" x14ac:dyDescent="0.35">
      <c r="B747" s="38"/>
      <c r="C747" s="38"/>
      <c r="D747" s="38"/>
      <c r="E747" s="38"/>
      <c r="F747" s="38"/>
      <c r="G747" s="38"/>
      <c r="H747" s="38"/>
    </row>
    <row r="748" spans="2:8" x14ac:dyDescent="0.35">
      <c r="B748" s="38"/>
      <c r="C748" s="38"/>
      <c r="D748" s="38"/>
      <c r="E748" s="38"/>
      <c r="F748" s="38"/>
      <c r="G748" s="38"/>
      <c r="H748" s="38"/>
    </row>
    <row r="749" spans="2:8" x14ac:dyDescent="0.35">
      <c r="B749" s="38"/>
      <c r="C749" s="38"/>
      <c r="D749" s="38"/>
      <c r="E749" s="38"/>
      <c r="F749" s="38"/>
      <c r="G749" s="38"/>
      <c r="H749" s="38"/>
    </row>
    <row r="750" spans="2:8" x14ac:dyDescent="0.35">
      <c r="B750" s="38"/>
      <c r="C750" s="38"/>
      <c r="D750" s="38"/>
      <c r="E750" s="38"/>
      <c r="F750" s="38"/>
      <c r="G750" s="38"/>
      <c r="H750" s="38"/>
    </row>
    <row r="751" spans="2:8" x14ac:dyDescent="0.35">
      <c r="B751" s="38"/>
      <c r="C751" s="38"/>
      <c r="D751" s="38"/>
      <c r="E751" s="38"/>
      <c r="F751" s="38"/>
      <c r="G751" s="38"/>
      <c r="H751" s="38"/>
    </row>
    <row r="752" spans="2:8" x14ac:dyDescent="0.35">
      <c r="B752" s="38"/>
      <c r="C752" s="38"/>
      <c r="D752" s="38"/>
      <c r="E752" s="38"/>
      <c r="F752" s="38"/>
      <c r="G752" s="38"/>
      <c r="H752" s="38"/>
    </row>
    <row r="753" spans="2:8" x14ac:dyDescent="0.35">
      <c r="B753" s="38"/>
      <c r="C753" s="38"/>
      <c r="D753" s="38"/>
      <c r="E753" s="38"/>
      <c r="F753" s="38"/>
      <c r="G753" s="38"/>
      <c r="H753" s="38"/>
    </row>
    <row r="754" spans="2:8" x14ac:dyDescent="0.35">
      <c r="B754" s="38"/>
      <c r="C754" s="38"/>
      <c r="D754" s="38"/>
      <c r="E754" s="38"/>
      <c r="F754" s="38"/>
      <c r="G754" s="38"/>
      <c r="H754" s="38"/>
    </row>
    <row r="755" spans="2:8" x14ac:dyDescent="0.35">
      <c r="B755" s="38"/>
      <c r="C755" s="38"/>
      <c r="D755" s="38"/>
      <c r="E755" s="38"/>
      <c r="F755" s="38"/>
      <c r="G755" s="38"/>
      <c r="H755" s="38"/>
    </row>
    <row r="756" spans="2:8" x14ac:dyDescent="0.35">
      <c r="B756" s="38"/>
      <c r="C756" s="38"/>
      <c r="D756" s="38"/>
      <c r="E756" s="38"/>
      <c r="F756" s="38"/>
      <c r="G756" s="38"/>
      <c r="H756" s="38"/>
    </row>
    <row r="757" spans="2:8" x14ac:dyDescent="0.35">
      <c r="B757" s="38"/>
      <c r="C757" s="38"/>
      <c r="D757" s="38"/>
      <c r="E757" s="38"/>
      <c r="F757" s="38"/>
      <c r="G757" s="38"/>
      <c r="H757" s="38"/>
    </row>
    <row r="758" spans="2:8" x14ac:dyDescent="0.35">
      <c r="B758" s="38"/>
      <c r="C758" s="38"/>
      <c r="D758" s="38"/>
      <c r="E758" s="38"/>
      <c r="F758" s="38"/>
      <c r="G758" s="38"/>
      <c r="H758" s="38"/>
    </row>
    <row r="759" spans="2:8" x14ac:dyDescent="0.35">
      <c r="B759" s="38"/>
      <c r="C759" s="38"/>
      <c r="D759" s="38"/>
      <c r="E759" s="38"/>
      <c r="F759" s="38"/>
      <c r="G759" s="38"/>
      <c r="H759" s="38"/>
    </row>
    <row r="760" spans="2:8" x14ac:dyDescent="0.35">
      <c r="B760" s="38"/>
      <c r="C760" s="38"/>
      <c r="D760" s="38"/>
      <c r="E760" s="38"/>
      <c r="F760" s="38"/>
      <c r="G760" s="38"/>
      <c r="H760" s="38"/>
    </row>
    <row r="761" spans="2:8" x14ac:dyDescent="0.35">
      <c r="B761" s="38"/>
      <c r="C761" s="38"/>
      <c r="D761" s="38"/>
      <c r="E761" s="38"/>
      <c r="F761" s="38"/>
      <c r="G761" s="38"/>
      <c r="H761" s="38"/>
    </row>
    <row r="762" spans="2:8" x14ac:dyDescent="0.35">
      <c r="B762" s="38"/>
      <c r="C762" s="38"/>
      <c r="D762" s="38"/>
      <c r="E762" s="38"/>
      <c r="F762" s="38"/>
      <c r="G762" s="38"/>
      <c r="H762" s="38"/>
    </row>
    <row r="763" spans="2:8" x14ac:dyDescent="0.35">
      <c r="B763" s="38"/>
      <c r="C763" s="38"/>
      <c r="D763" s="38"/>
      <c r="E763" s="38"/>
      <c r="F763" s="38"/>
      <c r="G763" s="38"/>
      <c r="H763" s="38"/>
    </row>
    <row r="764" spans="2:8" x14ac:dyDescent="0.35">
      <c r="B764" s="38"/>
      <c r="C764" s="38"/>
      <c r="D764" s="38"/>
      <c r="E764" s="38"/>
      <c r="F764" s="38"/>
      <c r="G764" s="38"/>
      <c r="H764" s="38"/>
    </row>
    <row r="765" spans="2:8" x14ac:dyDescent="0.35">
      <c r="B765" s="38"/>
      <c r="C765" s="38"/>
      <c r="D765" s="38"/>
      <c r="E765" s="38"/>
      <c r="F765" s="38"/>
      <c r="G765" s="38"/>
      <c r="H765" s="38"/>
    </row>
    <row r="766" spans="2:8" x14ac:dyDescent="0.35">
      <c r="B766" s="38"/>
      <c r="C766" s="38"/>
      <c r="D766" s="38"/>
      <c r="E766" s="38"/>
      <c r="F766" s="38"/>
      <c r="G766" s="38"/>
      <c r="H766" s="38"/>
    </row>
    <row r="767" spans="2:8" x14ac:dyDescent="0.35">
      <c r="B767" s="38"/>
      <c r="C767" s="38"/>
      <c r="D767" s="38"/>
      <c r="E767" s="38"/>
      <c r="F767" s="38"/>
      <c r="G767" s="38"/>
      <c r="H767" s="38"/>
    </row>
    <row r="768" spans="2:8" x14ac:dyDescent="0.35">
      <c r="B768" s="38"/>
      <c r="C768" s="38"/>
      <c r="D768" s="38"/>
      <c r="E768" s="38"/>
      <c r="F768" s="38"/>
      <c r="G768" s="38"/>
      <c r="H768" s="38"/>
    </row>
    <row r="769" spans="2:8" x14ac:dyDescent="0.35">
      <c r="B769" s="38"/>
      <c r="C769" s="38"/>
      <c r="D769" s="38"/>
      <c r="E769" s="38"/>
      <c r="F769" s="38"/>
      <c r="G769" s="38"/>
      <c r="H769" s="38"/>
    </row>
    <row r="770" spans="2:8" x14ac:dyDescent="0.35">
      <c r="B770" s="38"/>
      <c r="C770" s="38"/>
      <c r="D770" s="38"/>
      <c r="E770" s="38"/>
      <c r="F770" s="38"/>
      <c r="G770" s="38"/>
      <c r="H770" s="38"/>
    </row>
    <row r="771" spans="2:8" x14ac:dyDescent="0.35">
      <c r="B771" s="38"/>
      <c r="C771" s="38"/>
      <c r="D771" s="38"/>
      <c r="E771" s="38"/>
      <c r="F771" s="38"/>
      <c r="G771" s="38"/>
      <c r="H771" s="38"/>
    </row>
    <row r="772" spans="2:8" x14ac:dyDescent="0.35">
      <c r="B772" s="38"/>
      <c r="C772" s="38"/>
      <c r="D772" s="38"/>
      <c r="E772" s="38"/>
      <c r="F772" s="38"/>
      <c r="G772" s="38"/>
      <c r="H772" s="38"/>
    </row>
    <row r="773" spans="2:8" x14ac:dyDescent="0.35">
      <c r="B773" s="38"/>
      <c r="C773" s="38"/>
      <c r="D773" s="38"/>
      <c r="E773" s="38"/>
      <c r="F773" s="38"/>
      <c r="G773" s="38"/>
      <c r="H773" s="38"/>
    </row>
    <row r="774" spans="2:8" x14ac:dyDescent="0.35">
      <c r="B774" s="38"/>
      <c r="C774" s="38"/>
      <c r="D774" s="38"/>
      <c r="E774" s="38"/>
      <c r="F774" s="38"/>
      <c r="G774" s="38"/>
      <c r="H774" s="38"/>
    </row>
    <row r="775" spans="2:8" x14ac:dyDescent="0.35">
      <c r="B775" s="38"/>
      <c r="C775" s="38"/>
      <c r="D775" s="38"/>
      <c r="E775" s="38"/>
      <c r="F775" s="38"/>
      <c r="G775" s="38"/>
      <c r="H775" s="38"/>
    </row>
    <row r="776" spans="2:8" x14ac:dyDescent="0.35">
      <c r="B776" s="38"/>
      <c r="C776" s="38"/>
      <c r="D776" s="38"/>
      <c r="E776" s="38"/>
      <c r="F776" s="38"/>
      <c r="G776" s="38"/>
      <c r="H776" s="38"/>
    </row>
    <row r="777" spans="2:8" x14ac:dyDescent="0.35">
      <c r="B777" s="38"/>
      <c r="C777" s="38"/>
      <c r="D777" s="38"/>
      <c r="E777" s="38"/>
      <c r="F777" s="38"/>
      <c r="G777" s="38"/>
      <c r="H777" s="38"/>
    </row>
    <row r="778" spans="2:8" x14ac:dyDescent="0.35">
      <c r="B778" s="38"/>
      <c r="C778" s="38"/>
      <c r="D778" s="38"/>
      <c r="E778" s="38"/>
      <c r="F778" s="38"/>
      <c r="G778" s="38"/>
      <c r="H778" s="38"/>
    </row>
    <row r="779" spans="2:8" x14ac:dyDescent="0.35">
      <c r="B779" s="38"/>
      <c r="C779" s="38"/>
      <c r="D779" s="38"/>
      <c r="E779" s="38"/>
      <c r="F779" s="38"/>
      <c r="G779" s="38"/>
      <c r="H779" s="38"/>
    </row>
    <row r="780" spans="2:8" x14ac:dyDescent="0.35">
      <c r="B780" s="38"/>
      <c r="C780" s="38"/>
      <c r="D780" s="38"/>
      <c r="E780" s="38"/>
      <c r="F780" s="38"/>
      <c r="G780" s="38"/>
      <c r="H780" s="38"/>
    </row>
    <row r="781" spans="2:8" x14ac:dyDescent="0.35">
      <c r="B781" s="38"/>
      <c r="C781" s="38"/>
      <c r="D781" s="38"/>
      <c r="E781" s="38"/>
      <c r="F781" s="38"/>
      <c r="G781" s="38"/>
      <c r="H781" s="38"/>
    </row>
    <row r="782" spans="2:8" x14ac:dyDescent="0.35">
      <c r="B782" s="38"/>
      <c r="C782" s="38"/>
      <c r="D782" s="38"/>
      <c r="E782" s="38"/>
      <c r="F782" s="38"/>
      <c r="G782" s="38"/>
      <c r="H782" s="38"/>
    </row>
    <row r="783" spans="2:8" x14ac:dyDescent="0.35">
      <c r="B783" s="38"/>
      <c r="C783" s="38"/>
      <c r="D783" s="38"/>
      <c r="E783" s="38"/>
      <c r="F783" s="38"/>
      <c r="G783" s="38"/>
      <c r="H783" s="38"/>
    </row>
    <row r="784" spans="2:8" x14ac:dyDescent="0.35">
      <c r="B784" s="38"/>
      <c r="C784" s="38"/>
      <c r="D784" s="38"/>
      <c r="E784" s="38"/>
      <c r="F784" s="38"/>
      <c r="G784" s="38"/>
      <c r="H784" s="38"/>
    </row>
    <row r="785" spans="2:8" x14ac:dyDescent="0.35">
      <c r="B785" s="38"/>
      <c r="C785" s="38"/>
      <c r="D785" s="38"/>
      <c r="E785" s="38"/>
      <c r="F785" s="38"/>
      <c r="G785" s="38"/>
      <c r="H785" s="38"/>
    </row>
    <row r="786" spans="2:8" x14ac:dyDescent="0.35">
      <c r="B786" s="38"/>
      <c r="C786" s="38"/>
      <c r="D786" s="38"/>
      <c r="E786" s="38"/>
      <c r="F786" s="38"/>
      <c r="G786" s="38"/>
      <c r="H786" s="38"/>
    </row>
    <row r="787" spans="2:8" x14ac:dyDescent="0.35">
      <c r="B787" s="38"/>
      <c r="C787" s="38"/>
      <c r="D787" s="38"/>
      <c r="E787" s="38"/>
      <c r="F787" s="38"/>
      <c r="G787" s="38"/>
      <c r="H787" s="38"/>
    </row>
    <row r="788" spans="2:8" x14ac:dyDescent="0.35">
      <c r="B788" s="38"/>
      <c r="C788" s="38"/>
      <c r="D788" s="38"/>
      <c r="E788" s="38"/>
      <c r="F788" s="38"/>
      <c r="G788" s="38"/>
      <c r="H788" s="38"/>
    </row>
    <row r="789" spans="2:8" x14ac:dyDescent="0.35">
      <c r="B789" s="38"/>
      <c r="C789" s="38"/>
      <c r="D789" s="38"/>
      <c r="E789" s="38"/>
      <c r="F789" s="38"/>
      <c r="G789" s="38"/>
      <c r="H789" s="38"/>
    </row>
    <row r="790" spans="2:8" x14ac:dyDescent="0.35">
      <c r="B790" s="38"/>
      <c r="C790" s="38"/>
      <c r="D790" s="38"/>
      <c r="E790" s="38"/>
      <c r="F790" s="38"/>
      <c r="G790" s="38"/>
      <c r="H790" s="38"/>
    </row>
    <row r="791" spans="2:8" x14ac:dyDescent="0.35">
      <c r="B791" s="38"/>
      <c r="C791" s="38"/>
      <c r="D791" s="38"/>
      <c r="E791" s="38"/>
      <c r="F791" s="38"/>
      <c r="G791" s="38"/>
      <c r="H791" s="38"/>
    </row>
    <row r="792" spans="2:8" x14ac:dyDescent="0.35">
      <c r="B792" s="38"/>
      <c r="C792" s="38"/>
      <c r="D792" s="38"/>
      <c r="E792" s="38"/>
      <c r="F792" s="38"/>
      <c r="G792" s="38"/>
      <c r="H792" s="38"/>
    </row>
    <row r="793" spans="2:8" x14ac:dyDescent="0.35">
      <c r="B793" s="38"/>
      <c r="C793" s="38"/>
      <c r="D793" s="38"/>
      <c r="E793" s="38"/>
      <c r="F793" s="38"/>
      <c r="G793" s="38"/>
      <c r="H793" s="38"/>
    </row>
    <row r="794" spans="2:8" x14ac:dyDescent="0.35">
      <c r="B794" s="38"/>
      <c r="C794" s="38"/>
      <c r="D794" s="38"/>
      <c r="E794" s="38"/>
      <c r="F794" s="38"/>
      <c r="G794" s="38"/>
      <c r="H794" s="38"/>
    </row>
    <row r="795" spans="2:8" x14ac:dyDescent="0.35">
      <c r="B795" s="38"/>
      <c r="C795" s="38"/>
      <c r="D795" s="38"/>
      <c r="E795" s="38"/>
      <c r="F795" s="38"/>
      <c r="G795" s="38"/>
      <c r="H795" s="38"/>
    </row>
    <row r="796" spans="2:8" x14ac:dyDescent="0.35">
      <c r="B796" s="38"/>
      <c r="C796" s="38"/>
      <c r="D796" s="38"/>
      <c r="E796" s="38"/>
      <c r="F796" s="38"/>
      <c r="G796" s="38"/>
      <c r="H796" s="38"/>
    </row>
    <row r="797" spans="2:8" x14ac:dyDescent="0.35">
      <c r="B797" s="38"/>
      <c r="C797" s="38"/>
      <c r="D797" s="38"/>
      <c r="E797" s="38"/>
      <c r="F797" s="38"/>
      <c r="G797" s="38"/>
      <c r="H797" s="38"/>
    </row>
    <row r="798" spans="2:8" x14ac:dyDescent="0.35">
      <c r="B798" s="38"/>
      <c r="C798" s="38"/>
      <c r="D798" s="38"/>
      <c r="E798" s="38"/>
      <c r="F798" s="38"/>
      <c r="G798" s="38"/>
      <c r="H798" s="38"/>
    </row>
    <row r="799" spans="2:8" x14ac:dyDescent="0.35">
      <c r="B799" s="38"/>
      <c r="C799" s="38"/>
      <c r="D799" s="38"/>
      <c r="E799" s="38"/>
      <c r="F799" s="38"/>
      <c r="G799" s="38"/>
      <c r="H799" s="38"/>
    </row>
    <row r="800" spans="2:8" x14ac:dyDescent="0.35">
      <c r="B800" s="38"/>
      <c r="C800" s="38"/>
      <c r="D800" s="38"/>
      <c r="E800" s="38"/>
      <c r="F800" s="38"/>
      <c r="G800" s="38"/>
      <c r="H800" s="38"/>
    </row>
    <row r="801" spans="2:8" x14ac:dyDescent="0.35">
      <c r="B801" s="38"/>
      <c r="C801" s="38"/>
      <c r="D801" s="38"/>
      <c r="E801" s="38"/>
      <c r="F801" s="38"/>
      <c r="G801" s="38"/>
      <c r="H801" s="38"/>
    </row>
    <row r="802" spans="2:8" x14ac:dyDescent="0.35">
      <c r="B802" s="38"/>
      <c r="C802" s="38"/>
      <c r="D802" s="38"/>
      <c r="E802" s="38"/>
      <c r="F802" s="38"/>
      <c r="G802" s="38"/>
      <c r="H802" s="38"/>
    </row>
    <row r="803" spans="2:8" x14ac:dyDescent="0.35">
      <c r="B803" s="38"/>
      <c r="C803" s="38"/>
      <c r="D803" s="38"/>
      <c r="E803" s="38"/>
      <c r="F803" s="38"/>
      <c r="G803" s="38"/>
      <c r="H803" s="38"/>
    </row>
    <row r="804" spans="2:8" x14ac:dyDescent="0.35">
      <c r="B804" s="38"/>
      <c r="C804" s="38"/>
      <c r="D804" s="38"/>
      <c r="E804" s="38"/>
      <c r="F804" s="38"/>
      <c r="G804" s="38"/>
      <c r="H804" s="38"/>
    </row>
    <row r="805" spans="2:8" x14ac:dyDescent="0.35">
      <c r="B805" s="38"/>
      <c r="C805" s="38"/>
      <c r="D805" s="38"/>
      <c r="E805" s="38"/>
      <c r="F805" s="38"/>
      <c r="G805" s="38"/>
      <c r="H805" s="38"/>
    </row>
    <row r="806" spans="2:8" x14ac:dyDescent="0.35">
      <c r="B806" s="38"/>
      <c r="C806" s="38"/>
      <c r="D806" s="38"/>
      <c r="E806" s="38"/>
      <c r="F806" s="38"/>
      <c r="G806" s="38"/>
      <c r="H806" s="38"/>
    </row>
    <row r="807" spans="2:8" x14ac:dyDescent="0.35">
      <c r="B807" s="38"/>
      <c r="C807" s="38"/>
      <c r="D807" s="38"/>
      <c r="E807" s="38"/>
      <c r="F807" s="38"/>
      <c r="G807" s="38"/>
      <c r="H807" s="38"/>
    </row>
    <row r="808" spans="2:8" x14ac:dyDescent="0.35">
      <c r="B808" s="38"/>
      <c r="C808" s="38"/>
      <c r="D808" s="38"/>
      <c r="E808" s="38"/>
      <c r="F808" s="38"/>
      <c r="G808" s="38"/>
      <c r="H808" s="38"/>
    </row>
    <row r="809" spans="2:8" x14ac:dyDescent="0.35">
      <c r="B809" s="38"/>
      <c r="C809" s="38"/>
      <c r="D809" s="38"/>
      <c r="E809" s="38"/>
      <c r="F809" s="38"/>
      <c r="G809" s="38"/>
      <c r="H809" s="38"/>
    </row>
    <row r="810" spans="2:8" x14ac:dyDescent="0.35">
      <c r="B810" s="38"/>
      <c r="C810" s="38"/>
      <c r="D810" s="38"/>
      <c r="E810" s="38"/>
      <c r="F810" s="38"/>
      <c r="G810" s="38"/>
      <c r="H810" s="38"/>
    </row>
    <row r="811" spans="2:8" x14ac:dyDescent="0.35">
      <c r="B811" s="38"/>
      <c r="C811" s="38"/>
      <c r="D811" s="38"/>
      <c r="E811" s="38"/>
      <c r="F811" s="38"/>
      <c r="G811" s="38"/>
      <c r="H811" s="38"/>
    </row>
    <row r="812" spans="2:8" x14ac:dyDescent="0.35">
      <c r="B812" s="38"/>
      <c r="C812" s="38"/>
      <c r="D812" s="38"/>
      <c r="E812" s="38"/>
      <c r="F812" s="38"/>
      <c r="G812" s="38"/>
      <c r="H812" s="38"/>
    </row>
    <row r="813" spans="2:8" x14ac:dyDescent="0.35">
      <c r="B813" s="38"/>
      <c r="C813" s="38"/>
      <c r="D813" s="38"/>
      <c r="E813" s="38"/>
      <c r="F813" s="38"/>
      <c r="G813" s="38"/>
      <c r="H813" s="38"/>
    </row>
    <row r="814" spans="2:8" x14ac:dyDescent="0.35">
      <c r="B814" s="38"/>
      <c r="C814" s="38"/>
      <c r="D814" s="38"/>
      <c r="E814" s="38"/>
      <c r="F814" s="38"/>
      <c r="G814" s="38"/>
      <c r="H814" s="38"/>
    </row>
    <row r="815" spans="2:8" x14ac:dyDescent="0.35">
      <c r="B815" s="38"/>
      <c r="C815" s="38"/>
      <c r="D815" s="38"/>
      <c r="E815" s="38"/>
      <c r="F815" s="38"/>
      <c r="G815" s="38"/>
      <c r="H815" s="38"/>
    </row>
    <row r="816" spans="2:8" x14ac:dyDescent="0.35">
      <c r="B816" s="38"/>
      <c r="C816" s="38"/>
      <c r="D816" s="38"/>
      <c r="E816" s="38"/>
      <c r="F816" s="38"/>
      <c r="G816" s="38"/>
      <c r="H816" s="38"/>
    </row>
    <row r="817" spans="2:8" x14ac:dyDescent="0.35">
      <c r="B817" s="38"/>
      <c r="C817" s="38"/>
      <c r="D817" s="38"/>
      <c r="E817" s="38"/>
      <c r="F817" s="38"/>
      <c r="G817" s="38"/>
      <c r="H817" s="38"/>
    </row>
    <row r="818" spans="2:8" x14ac:dyDescent="0.35">
      <c r="B818" s="38"/>
      <c r="C818" s="38"/>
      <c r="D818" s="38"/>
      <c r="E818" s="38"/>
      <c r="F818" s="38"/>
      <c r="G818" s="38"/>
      <c r="H818" s="38"/>
    </row>
    <row r="819" spans="2:8" x14ac:dyDescent="0.35">
      <c r="B819" s="38"/>
      <c r="C819" s="38"/>
      <c r="D819" s="38"/>
      <c r="E819" s="38"/>
      <c r="F819" s="38"/>
      <c r="G819" s="38"/>
      <c r="H819" s="38"/>
    </row>
    <row r="820" spans="2:8" x14ac:dyDescent="0.35">
      <c r="B820" s="38"/>
      <c r="C820" s="38"/>
      <c r="D820" s="38"/>
      <c r="E820" s="38"/>
      <c r="F820" s="38"/>
      <c r="G820" s="38"/>
      <c r="H820" s="38"/>
    </row>
    <row r="821" spans="2:8" x14ac:dyDescent="0.35">
      <c r="B821" s="38"/>
      <c r="C821" s="38"/>
      <c r="D821" s="38"/>
      <c r="E821" s="38"/>
      <c r="F821" s="38"/>
      <c r="G821" s="38"/>
      <c r="H821" s="38"/>
    </row>
    <row r="822" spans="2:8" x14ac:dyDescent="0.35">
      <c r="B822" s="38"/>
      <c r="C822" s="38"/>
      <c r="D822" s="38"/>
      <c r="E822" s="38"/>
      <c r="F822" s="38"/>
      <c r="G822" s="38"/>
      <c r="H822" s="38"/>
    </row>
    <row r="823" spans="2:8" x14ac:dyDescent="0.35">
      <c r="B823" s="38"/>
      <c r="C823" s="38"/>
      <c r="D823" s="38"/>
      <c r="E823" s="38"/>
      <c r="F823" s="38"/>
      <c r="G823" s="38"/>
      <c r="H823" s="38"/>
    </row>
    <row r="824" spans="2:8" x14ac:dyDescent="0.35">
      <c r="B824" s="38"/>
      <c r="C824" s="38"/>
      <c r="D824" s="38"/>
      <c r="E824" s="38"/>
      <c r="F824" s="38"/>
      <c r="G824" s="38"/>
      <c r="H824" s="38"/>
    </row>
    <row r="825" spans="2:8" x14ac:dyDescent="0.35">
      <c r="B825" s="38"/>
      <c r="C825" s="38"/>
      <c r="D825" s="38"/>
      <c r="E825" s="38"/>
      <c r="F825" s="38"/>
      <c r="G825" s="38"/>
      <c r="H825" s="38"/>
    </row>
    <row r="826" spans="2:8" x14ac:dyDescent="0.35">
      <c r="B826" s="38"/>
      <c r="C826" s="38"/>
      <c r="D826" s="38"/>
      <c r="E826" s="38"/>
      <c r="F826" s="38"/>
      <c r="G826" s="38"/>
      <c r="H826" s="38"/>
    </row>
    <row r="827" spans="2:8" x14ac:dyDescent="0.35">
      <c r="B827" s="38"/>
      <c r="C827" s="38"/>
      <c r="D827" s="38"/>
      <c r="E827" s="38"/>
      <c r="F827" s="38"/>
      <c r="G827" s="38"/>
      <c r="H827" s="38"/>
    </row>
    <row r="828" spans="2:8" x14ac:dyDescent="0.35">
      <c r="B828" s="38"/>
      <c r="C828" s="38"/>
      <c r="D828" s="38"/>
      <c r="E828" s="38"/>
      <c r="F828" s="38"/>
      <c r="G828" s="38"/>
      <c r="H828" s="38"/>
    </row>
    <row r="829" spans="2:8" x14ac:dyDescent="0.35">
      <c r="B829" s="38"/>
      <c r="C829" s="38"/>
      <c r="D829" s="38"/>
      <c r="E829" s="38"/>
      <c r="F829" s="38"/>
      <c r="G829" s="38"/>
      <c r="H829" s="38"/>
    </row>
    <row r="830" spans="2:8" x14ac:dyDescent="0.35">
      <c r="B830" s="38"/>
      <c r="C830" s="38"/>
      <c r="D830" s="38"/>
      <c r="E830" s="38"/>
      <c r="F830" s="38"/>
      <c r="G830" s="38"/>
      <c r="H830" s="38"/>
    </row>
    <row r="831" spans="2:8" x14ac:dyDescent="0.35">
      <c r="B831" s="38"/>
      <c r="C831" s="38"/>
      <c r="D831" s="38"/>
      <c r="E831" s="38"/>
      <c r="F831" s="38"/>
      <c r="G831" s="38"/>
      <c r="H831" s="38"/>
    </row>
    <row r="832" spans="2:8" x14ac:dyDescent="0.35">
      <c r="B832" s="38"/>
      <c r="C832" s="38"/>
      <c r="D832" s="38"/>
      <c r="E832" s="38"/>
      <c r="F832" s="38"/>
      <c r="G832" s="38"/>
      <c r="H832" s="38"/>
    </row>
    <row r="833" spans="2:8" x14ac:dyDescent="0.35">
      <c r="B833" s="38"/>
      <c r="C833" s="38"/>
      <c r="D833" s="38"/>
      <c r="E833" s="38"/>
      <c r="F833" s="38"/>
      <c r="G833" s="38"/>
      <c r="H833" s="38"/>
    </row>
    <row r="834" spans="2:8" x14ac:dyDescent="0.35">
      <c r="B834" s="38"/>
      <c r="C834" s="38"/>
      <c r="D834" s="38"/>
      <c r="E834" s="38"/>
      <c r="F834" s="38"/>
      <c r="G834" s="38"/>
      <c r="H834" s="38"/>
    </row>
    <row r="835" spans="2:8" x14ac:dyDescent="0.35">
      <c r="B835" s="38"/>
      <c r="C835" s="38"/>
      <c r="D835" s="38"/>
      <c r="E835" s="38"/>
      <c r="F835" s="38"/>
      <c r="G835" s="38"/>
      <c r="H835" s="38"/>
    </row>
    <row r="836" spans="2:8" x14ac:dyDescent="0.35">
      <c r="B836" s="38"/>
      <c r="C836" s="38"/>
      <c r="D836" s="38"/>
      <c r="E836" s="38"/>
      <c r="F836" s="38"/>
      <c r="G836" s="38"/>
      <c r="H836" s="38"/>
    </row>
    <row r="837" spans="2:8" x14ac:dyDescent="0.35">
      <c r="B837" s="38"/>
      <c r="C837" s="38"/>
      <c r="D837" s="38"/>
      <c r="E837" s="38"/>
      <c r="F837" s="38"/>
      <c r="G837" s="38"/>
      <c r="H837" s="38"/>
    </row>
    <row r="838" spans="2:8" x14ac:dyDescent="0.35">
      <c r="B838" s="38"/>
      <c r="C838" s="38"/>
      <c r="D838" s="38"/>
      <c r="E838" s="38"/>
      <c r="F838" s="38"/>
      <c r="G838" s="38"/>
      <c r="H838" s="38"/>
    </row>
    <row r="839" spans="2:8" x14ac:dyDescent="0.35">
      <c r="B839" s="38"/>
      <c r="C839" s="38"/>
      <c r="D839" s="38"/>
      <c r="E839" s="38"/>
      <c r="F839" s="38"/>
      <c r="G839" s="38"/>
      <c r="H839" s="38"/>
    </row>
    <row r="840" spans="2:8" x14ac:dyDescent="0.35">
      <c r="B840" s="38"/>
      <c r="C840" s="38"/>
      <c r="D840" s="38"/>
      <c r="E840" s="38"/>
      <c r="F840" s="38"/>
      <c r="G840" s="38"/>
      <c r="H840" s="38"/>
    </row>
    <row r="841" spans="2:8" x14ac:dyDescent="0.35">
      <c r="B841" s="38"/>
      <c r="C841" s="38"/>
      <c r="D841" s="38"/>
      <c r="E841" s="38"/>
      <c r="F841" s="38"/>
      <c r="G841" s="38"/>
      <c r="H841" s="38"/>
    </row>
    <row r="842" spans="2:8" x14ac:dyDescent="0.35">
      <c r="B842" s="38"/>
      <c r="C842" s="38"/>
      <c r="D842" s="38"/>
      <c r="E842" s="38"/>
      <c r="F842" s="38"/>
      <c r="G842" s="38"/>
      <c r="H842" s="38"/>
    </row>
    <row r="843" spans="2:8" x14ac:dyDescent="0.35">
      <c r="B843" s="38"/>
      <c r="C843" s="38"/>
      <c r="D843" s="38"/>
      <c r="E843" s="38"/>
      <c r="F843" s="38"/>
      <c r="G843" s="38"/>
      <c r="H843" s="38"/>
    </row>
    <row r="844" spans="2:8" x14ac:dyDescent="0.35">
      <c r="B844" s="38"/>
      <c r="C844" s="38"/>
      <c r="D844" s="38"/>
      <c r="E844" s="38"/>
      <c r="F844" s="38"/>
      <c r="G844" s="38"/>
      <c r="H844" s="38"/>
    </row>
    <row r="845" spans="2:8" x14ac:dyDescent="0.35">
      <c r="B845" s="38"/>
      <c r="C845" s="38"/>
      <c r="D845" s="38"/>
      <c r="E845" s="38"/>
      <c r="F845" s="38"/>
      <c r="G845" s="38"/>
      <c r="H845" s="38"/>
    </row>
    <row r="846" spans="2:8" x14ac:dyDescent="0.35">
      <c r="B846" s="38"/>
      <c r="C846" s="38"/>
      <c r="D846" s="38"/>
      <c r="E846" s="38"/>
      <c r="F846" s="38"/>
      <c r="G846" s="38"/>
      <c r="H846" s="38"/>
    </row>
    <row r="847" spans="2:8" x14ac:dyDescent="0.35">
      <c r="B847" s="38"/>
      <c r="C847" s="38"/>
      <c r="D847" s="38"/>
      <c r="E847" s="38"/>
      <c r="F847" s="38"/>
      <c r="G847" s="38"/>
      <c r="H847" s="38"/>
    </row>
    <row r="848" spans="2:8" x14ac:dyDescent="0.35">
      <c r="B848" s="38"/>
      <c r="C848" s="38"/>
      <c r="D848" s="38"/>
      <c r="E848" s="38"/>
      <c r="F848" s="38"/>
      <c r="G848" s="38"/>
      <c r="H848" s="38"/>
    </row>
    <row r="849" spans="2:8" x14ac:dyDescent="0.35">
      <c r="B849" s="38"/>
      <c r="C849" s="38"/>
      <c r="D849" s="38"/>
      <c r="E849" s="38"/>
      <c r="F849" s="38"/>
      <c r="G849" s="38"/>
      <c r="H849" s="38"/>
    </row>
    <row r="850" spans="2:8" x14ac:dyDescent="0.35">
      <c r="B850" s="38"/>
      <c r="C850" s="38"/>
      <c r="D850" s="38"/>
      <c r="E850" s="38"/>
      <c r="F850" s="38"/>
      <c r="G850" s="38"/>
      <c r="H850" s="38"/>
    </row>
    <row r="851" spans="2:8" x14ac:dyDescent="0.35">
      <c r="B851" s="38"/>
      <c r="C851" s="38"/>
      <c r="D851" s="38"/>
      <c r="E851" s="38"/>
      <c r="F851" s="38"/>
      <c r="G851" s="38"/>
      <c r="H851" s="38"/>
    </row>
    <row r="852" spans="2:8" x14ac:dyDescent="0.35">
      <c r="B852" s="38"/>
      <c r="C852" s="38"/>
      <c r="D852" s="38"/>
      <c r="E852" s="38"/>
      <c r="F852" s="38"/>
      <c r="G852" s="38"/>
      <c r="H852" s="38"/>
    </row>
    <row r="853" spans="2:8" x14ac:dyDescent="0.35">
      <c r="B853" s="38"/>
      <c r="C853" s="38"/>
      <c r="D853" s="38"/>
      <c r="E853" s="38"/>
      <c r="F853" s="38"/>
      <c r="G853" s="38"/>
      <c r="H853" s="38"/>
    </row>
    <row r="854" spans="2:8" x14ac:dyDescent="0.35">
      <c r="B854" s="38"/>
      <c r="C854" s="38"/>
      <c r="D854" s="38"/>
      <c r="E854" s="38"/>
      <c r="F854" s="38"/>
      <c r="G854" s="38"/>
      <c r="H854" s="38"/>
    </row>
    <row r="855" spans="2:8" x14ac:dyDescent="0.35">
      <c r="B855" s="38"/>
      <c r="C855" s="38"/>
      <c r="D855" s="38"/>
      <c r="E855" s="38"/>
      <c r="F855" s="38"/>
      <c r="G855" s="38"/>
      <c r="H855" s="38"/>
    </row>
    <row r="856" spans="2:8" x14ac:dyDescent="0.35">
      <c r="B856" s="38"/>
      <c r="C856" s="38"/>
      <c r="D856" s="38"/>
      <c r="E856" s="38"/>
      <c r="F856" s="38"/>
      <c r="G856" s="38"/>
      <c r="H856" s="38"/>
    </row>
    <row r="857" spans="2:8" x14ac:dyDescent="0.35">
      <c r="B857" s="38"/>
      <c r="C857" s="38"/>
      <c r="D857" s="38"/>
      <c r="E857" s="38"/>
      <c r="F857" s="38"/>
      <c r="G857" s="38"/>
      <c r="H857" s="38"/>
    </row>
    <row r="858" spans="2:8" x14ac:dyDescent="0.35">
      <c r="B858" s="38"/>
      <c r="C858" s="38"/>
      <c r="D858" s="38"/>
      <c r="E858" s="38"/>
      <c r="F858" s="38"/>
      <c r="G858" s="38"/>
      <c r="H858" s="38"/>
    </row>
    <row r="859" spans="2:8" x14ac:dyDescent="0.35">
      <c r="B859" s="38"/>
      <c r="C859" s="38"/>
      <c r="D859" s="38"/>
      <c r="E859" s="38"/>
      <c r="F859" s="38"/>
      <c r="G859" s="38"/>
      <c r="H859" s="38"/>
    </row>
    <row r="860" spans="2:8" x14ac:dyDescent="0.35">
      <c r="B860" s="38"/>
      <c r="C860" s="38"/>
      <c r="D860" s="38"/>
      <c r="E860" s="38"/>
      <c r="F860" s="38"/>
      <c r="G860" s="38"/>
      <c r="H860" s="38"/>
    </row>
    <row r="861" spans="2:8" x14ac:dyDescent="0.35">
      <c r="B861" s="38"/>
      <c r="C861" s="38"/>
      <c r="D861" s="38"/>
      <c r="E861" s="38"/>
      <c r="F861" s="38"/>
      <c r="G861" s="38"/>
      <c r="H861" s="38"/>
    </row>
    <row r="862" spans="2:8" x14ac:dyDescent="0.35">
      <c r="B862" s="38"/>
      <c r="C862" s="38"/>
      <c r="D862" s="38"/>
      <c r="E862" s="38"/>
      <c r="F862" s="38"/>
      <c r="G862" s="38"/>
      <c r="H862" s="38"/>
    </row>
    <row r="863" spans="2:8" x14ac:dyDescent="0.35">
      <c r="B863" s="38"/>
      <c r="C863" s="38"/>
      <c r="D863" s="38"/>
      <c r="E863" s="38"/>
      <c r="F863" s="38"/>
      <c r="G863" s="38"/>
      <c r="H863" s="38"/>
    </row>
    <row r="864" spans="2:8" x14ac:dyDescent="0.35">
      <c r="B864" s="38"/>
      <c r="C864" s="38"/>
      <c r="D864" s="38"/>
      <c r="E864" s="38"/>
      <c r="F864" s="38"/>
      <c r="G864" s="38"/>
      <c r="H864" s="38"/>
    </row>
    <row r="865" spans="2:8" x14ac:dyDescent="0.35">
      <c r="B865" s="38"/>
      <c r="C865" s="38"/>
      <c r="D865" s="38"/>
      <c r="E865" s="38"/>
      <c r="F865" s="38"/>
      <c r="G865" s="38"/>
      <c r="H865" s="38"/>
    </row>
    <row r="866" spans="2:8" x14ac:dyDescent="0.35">
      <c r="B866" s="38"/>
      <c r="C866" s="38"/>
      <c r="D866" s="38"/>
      <c r="E866" s="38"/>
      <c r="F866" s="38"/>
      <c r="G866" s="38"/>
      <c r="H866" s="38"/>
    </row>
    <row r="867" spans="2:8" x14ac:dyDescent="0.35">
      <c r="B867" s="38"/>
      <c r="C867" s="38"/>
      <c r="D867" s="38"/>
      <c r="E867" s="38"/>
      <c r="F867" s="38"/>
      <c r="G867" s="38"/>
      <c r="H867" s="38"/>
    </row>
    <row r="868" spans="2:8" x14ac:dyDescent="0.35">
      <c r="B868" s="38"/>
      <c r="C868" s="38"/>
      <c r="D868" s="38"/>
      <c r="E868" s="38"/>
      <c r="F868" s="38"/>
      <c r="G868" s="38"/>
      <c r="H868" s="38"/>
    </row>
    <row r="869" spans="2:8" x14ac:dyDescent="0.35">
      <c r="B869" s="38"/>
      <c r="C869" s="38"/>
      <c r="D869" s="38"/>
      <c r="E869" s="38"/>
      <c r="F869" s="38"/>
      <c r="G869" s="38"/>
      <c r="H869" s="38"/>
    </row>
    <row r="870" spans="2:8" x14ac:dyDescent="0.35">
      <c r="B870" s="38"/>
      <c r="C870" s="38"/>
      <c r="D870" s="38"/>
      <c r="E870" s="38"/>
      <c r="F870" s="38"/>
      <c r="G870" s="38"/>
      <c r="H870" s="38"/>
    </row>
    <row r="871" spans="2:8" x14ac:dyDescent="0.35">
      <c r="B871" s="38"/>
      <c r="C871" s="38"/>
      <c r="D871" s="38"/>
      <c r="E871" s="38"/>
      <c r="F871" s="38"/>
      <c r="G871" s="38"/>
      <c r="H871" s="38"/>
    </row>
    <row r="872" spans="2:8" x14ac:dyDescent="0.35">
      <c r="B872" s="38"/>
      <c r="C872" s="38"/>
      <c r="D872" s="38"/>
      <c r="E872" s="38"/>
      <c r="F872" s="38"/>
      <c r="G872" s="38"/>
      <c r="H872" s="38"/>
    </row>
    <row r="873" spans="2:8" x14ac:dyDescent="0.35">
      <c r="B873" s="38"/>
      <c r="C873" s="38"/>
      <c r="D873" s="38"/>
      <c r="E873" s="38"/>
      <c r="F873" s="38"/>
      <c r="G873" s="38"/>
      <c r="H873" s="38"/>
    </row>
    <row r="874" spans="2:8" x14ac:dyDescent="0.35">
      <c r="B874" s="38"/>
      <c r="C874" s="38"/>
      <c r="D874" s="38"/>
      <c r="E874" s="38"/>
      <c r="F874" s="38"/>
      <c r="G874" s="38"/>
      <c r="H874" s="38"/>
    </row>
    <row r="875" spans="2:8" x14ac:dyDescent="0.35">
      <c r="B875" s="38"/>
      <c r="C875" s="38"/>
      <c r="D875" s="38"/>
      <c r="E875" s="38"/>
      <c r="F875" s="38"/>
      <c r="G875" s="38"/>
      <c r="H875" s="38"/>
    </row>
    <row r="876" spans="2:8" x14ac:dyDescent="0.35">
      <c r="B876" s="38"/>
      <c r="C876" s="38"/>
      <c r="D876" s="38"/>
      <c r="E876" s="38"/>
      <c r="F876" s="38"/>
      <c r="G876" s="38"/>
      <c r="H876" s="38"/>
    </row>
    <row r="877" spans="2:8" x14ac:dyDescent="0.35">
      <c r="B877" s="38"/>
      <c r="C877" s="38"/>
      <c r="D877" s="38"/>
      <c r="E877" s="38"/>
      <c r="F877" s="38"/>
      <c r="G877" s="38"/>
      <c r="H877" s="38"/>
    </row>
    <row r="878" spans="2:8" x14ac:dyDescent="0.35">
      <c r="B878" s="38"/>
      <c r="C878" s="38"/>
      <c r="D878" s="38"/>
      <c r="E878" s="38"/>
      <c r="F878" s="38"/>
      <c r="G878" s="38"/>
      <c r="H878" s="38"/>
    </row>
    <row r="879" spans="2:8" x14ac:dyDescent="0.35">
      <c r="B879" s="38"/>
      <c r="C879" s="38"/>
      <c r="D879" s="38"/>
      <c r="E879" s="38"/>
      <c r="F879" s="38"/>
      <c r="G879" s="38"/>
      <c r="H879" s="38"/>
    </row>
    <row r="880" spans="2:8" x14ac:dyDescent="0.35">
      <c r="B880" s="38"/>
      <c r="C880" s="38"/>
      <c r="D880" s="38"/>
      <c r="E880" s="38"/>
      <c r="F880" s="38"/>
      <c r="G880" s="38"/>
      <c r="H880" s="38"/>
    </row>
    <row r="881" spans="2:8" x14ac:dyDescent="0.35">
      <c r="B881" s="38"/>
      <c r="C881" s="38"/>
      <c r="D881" s="38"/>
      <c r="E881" s="38"/>
      <c r="F881" s="38"/>
      <c r="G881" s="38"/>
      <c r="H881" s="38"/>
    </row>
    <row r="882" spans="2:8" x14ac:dyDescent="0.35">
      <c r="B882" s="38"/>
      <c r="C882" s="38"/>
      <c r="D882" s="38"/>
      <c r="E882" s="38"/>
      <c r="F882" s="38"/>
      <c r="G882" s="38"/>
      <c r="H882" s="38"/>
    </row>
    <row r="883" spans="2:8" x14ac:dyDescent="0.35">
      <c r="B883" s="38"/>
      <c r="C883" s="38"/>
      <c r="D883" s="38"/>
      <c r="E883" s="38"/>
      <c r="F883" s="38"/>
      <c r="G883" s="38"/>
      <c r="H883" s="38"/>
    </row>
    <row r="884" spans="2:8" x14ac:dyDescent="0.35">
      <c r="B884" s="38"/>
      <c r="C884" s="38"/>
      <c r="D884" s="38"/>
      <c r="E884" s="38"/>
      <c r="F884" s="38"/>
      <c r="G884" s="38"/>
      <c r="H884" s="38"/>
    </row>
    <row r="885" spans="2:8" x14ac:dyDescent="0.35">
      <c r="B885" s="38"/>
      <c r="C885" s="38"/>
      <c r="D885" s="38"/>
      <c r="E885" s="38"/>
      <c r="F885" s="38"/>
      <c r="G885" s="38"/>
      <c r="H885" s="38"/>
    </row>
    <row r="886" spans="2:8" x14ac:dyDescent="0.35">
      <c r="B886" s="38"/>
      <c r="C886" s="38"/>
      <c r="D886" s="38"/>
      <c r="E886" s="38"/>
      <c r="F886" s="38"/>
      <c r="G886" s="38"/>
      <c r="H886" s="38"/>
    </row>
    <row r="887" spans="2:8" x14ac:dyDescent="0.35">
      <c r="B887" s="38"/>
      <c r="C887" s="38"/>
      <c r="D887" s="38"/>
      <c r="E887" s="38"/>
      <c r="F887" s="38"/>
      <c r="G887" s="38"/>
      <c r="H887" s="38"/>
    </row>
    <row r="888" spans="2:8" x14ac:dyDescent="0.35">
      <c r="B888" s="38"/>
      <c r="C888" s="38"/>
      <c r="D888" s="38"/>
      <c r="E888" s="38"/>
      <c r="F888" s="38"/>
      <c r="G888" s="38"/>
      <c r="H888" s="38"/>
    </row>
    <row r="889" spans="2:8" x14ac:dyDescent="0.35">
      <c r="B889" s="38"/>
      <c r="C889" s="38"/>
      <c r="D889" s="38"/>
      <c r="E889" s="38"/>
      <c r="F889" s="38"/>
      <c r="G889" s="38"/>
      <c r="H889" s="38"/>
    </row>
    <row r="890" spans="2:8" x14ac:dyDescent="0.35">
      <c r="B890" s="38"/>
      <c r="C890" s="38"/>
      <c r="D890" s="38"/>
      <c r="E890" s="38"/>
      <c r="F890" s="38"/>
      <c r="G890" s="38"/>
      <c r="H890" s="38"/>
    </row>
    <row r="891" spans="2:8" x14ac:dyDescent="0.35">
      <c r="B891" s="38"/>
      <c r="C891" s="38"/>
      <c r="D891" s="38"/>
      <c r="E891" s="38"/>
      <c r="F891" s="38"/>
      <c r="G891" s="38"/>
      <c r="H891" s="38"/>
    </row>
    <row r="892" spans="2:8" x14ac:dyDescent="0.35">
      <c r="B892" s="38"/>
      <c r="C892" s="38"/>
      <c r="D892" s="38"/>
      <c r="E892" s="38"/>
      <c r="F892" s="38"/>
      <c r="G892" s="38"/>
      <c r="H892" s="38"/>
    </row>
    <row r="893" spans="2:8" x14ac:dyDescent="0.35">
      <c r="B893" s="38"/>
      <c r="C893" s="38"/>
      <c r="D893" s="38"/>
      <c r="E893" s="38"/>
      <c r="F893" s="38"/>
      <c r="G893" s="38"/>
      <c r="H893" s="38"/>
    </row>
    <row r="894" spans="2:8" x14ac:dyDescent="0.35">
      <c r="B894" s="38"/>
      <c r="C894" s="38"/>
      <c r="D894" s="38"/>
      <c r="E894" s="38"/>
      <c r="F894" s="38"/>
      <c r="G894" s="38"/>
      <c r="H894" s="38"/>
    </row>
    <row r="895" spans="2:8" x14ac:dyDescent="0.35">
      <c r="B895" s="38"/>
      <c r="C895" s="38"/>
      <c r="D895" s="38"/>
      <c r="E895" s="38"/>
      <c r="F895" s="38"/>
      <c r="G895" s="38"/>
      <c r="H895" s="38"/>
    </row>
    <row r="896" spans="2:8" x14ac:dyDescent="0.35">
      <c r="B896" s="38"/>
      <c r="C896" s="38"/>
      <c r="D896" s="38"/>
      <c r="E896" s="38"/>
      <c r="F896" s="38"/>
      <c r="G896" s="38"/>
      <c r="H896" s="38"/>
    </row>
    <row r="897" spans="2:8" x14ac:dyDescent="0.35">
      <c r="B897" s="38"/>
      <c r="C897" s="38"/>
      <c r="D897" s="38"/>
      <c r="E897" s="38"/>
      <c r="F897" s="38"/>
      <c r="G897" s="38"/>
      <c r="H897" s="38"/>
    </row>
    <row r="898" spans="2:8" x14ac:dyDescent="0.35">
      <c r="B898" s="38"/>
      <c r="C898" s="38"/>
      <c r="D898" s="38"/>
      <c r="E898" s="38"/>
      <c r="F898" s="38"/>
      <c r="G898" s="38"/>
      <c r="H898" s="38"/>
    </row>
    <row r="899" spans="2:8" x14ac:dyDescent="0.35">
      <c r="B899" s="38"/>
      <c r="C899" s="38"/>
      <c r="D899" s="38"/>
      <c r="E899" s="38"/>
      <c r="F899" s="38"/>
      <c r="G899" s="38"/>
      <c r="H899" s="38"/>
    </row>
    <row r="900" spans="2:8" x14ac:dyDescent="0.35">
      <c r="B900" s="38"/>
      <c r="C900" s="38"/>
      <c r="D900" s="38"/>
      <c r="E900" s="38"/>
      <c r="F900" s="38"/>
      <c r="G900" s="38"/>
      <c r="H900" s="38"/>
    </row>
    <row r="901" spans="2:8" x14ac:dyDescent="0.35">
      <c r="B901" s="38"/>
      <c r="C901" s="38"/>
      <c r="D901" s="38"/>
      <c r="E901" s="38"/>
      <c r="F901" s="38"/>
      <c r="G901" s="38"/>
      <c r="H901" s="38"/>
    </row>
    <row r="902" spans="2:8" x14ac:dyDescent="0.35">
      <c r="B902" s="38"/>
      <c r="C902" s="38"/>
      <c r="D902" s="38"/>
      <c r="E902" s="38"/>
      <c r="F902" s="38"/>
      <c r="G902" s="38"/>
      <c r="H902" s="38"/>
    </row>
    <row r="903" spans="2:8" x14ac:dyDescent="0.35">
      <c r="B903" s="38"/>
      <c r="C903" s="38"/>
      <c r="D903" s="38"/>
      <c r="E903" s="38"/>
      <c r="F903" s="38"/>
      <c r="G903" s="38"/>
      <c r="H903" s="38"/>
    </row>
    <row r="904" spans="2:8" x14ac:dyDescent="0.35">
      <c r="B904" s="38"/>
      <c r="C904" s="38"/>
      <c r="D904" s="38"/>
      <c r="E904" s="38"/>
      <c r="F904" s="38"/>
      <c r="G904" s="38"/>
      <c r="H904" s="38"/>
    </row>
    <row r="905" spans="2:8" x14ac:dyDescent="0.35">
      <c r="B905" s="38"/>
      <c r="C905" s="38"/>
      <c r="D905" s="38"/>
      <c r="E905" s="38"/>
      <c r="F905" s="38"/>
      <c r="G905" s="38"/>
      <c r="H905" s="38"/>
    </row>
    <row r="906" spans="2:8" x14ac:dyDescent="0.35">
      <c r="B906" s="38"/>
      <c r="C906" s="38"/>
      <c r="D906" s="38"/>
      <c r="E906" s="38"/>
      <c r="F906" s="38"/>
      <c r="G906" s="38"/>
      <c r="H906" s="38"/>
    </row>
    <row r="907" spans="2:8" x14ac:dyDescent="0.35">
      <c r="B907" s="38"/>
      <c r="C907" s="38"/>
      <c r="D907" s="38"/>
      <c r="E907" s="38"/>
      <c r="F907" s="38"/>
      <c r="G907" s="38"/>
      <c r="H907" s="38"/>
    </row>
    <row r="908" spans="2:8" x14ac:dyDescent="0.35">
      <c r="B908" s="38"/>
      <c r="C908" s="38"/>
      <c r="D908" s="38"/>
      <c r="E908" s="38"/>
      <c r="F908" s="38"/>
      <c r="G908" s="38"/>
      <c r="H908" s="38"/>
    </row>
    <row r="909" spans="2:8" x14ac:dyDescent="0.35">
      <c r="B909" s="38"/>
      <c r="C909" s="38"/>
      <c r="D909" s="38"/>
      <c r="E909" s="38"/>
      <c r="F909" s="38"/>
      <c r="G909" s="38"/>
      <c r="H909" s="38"/>
    </row>
    <row r="910" spans="2:8" x14ac:dyDescent="0.35">
      <c r="B910" s="38"/>
      <c r="C910" s="38"/>
      <c r="D910" s="38"/>
      <c r="E910" s="38"/>
      <c r="F910" s="38"/>
      <c r="G910" s="38"/>
      <c r="H910" s="38"/>
    </row>
    <row r="911" spans="2:8" x14ac:dyDescent="0.35">
      <c r="B911" s="38"/>
      <c r="C911" s="38"/>
      <c r="D911" s="38"/>
      <c r="E911" s="38"/>
      <c r="F911" s="38"/>
      <c r="G911" s="38"/>
      <c r="H911" s="38"/>
    </row>
    <row r="912" spans="2:8" x14ac:dyDescent="0.35">
      <c r="B912" s="38"/>
      <c r="C912" s="38"/>
      <c r="D912" s="38"/>
      <c r="E912" s="38"/>
      <c r="F912" s="38"/>
      <c r="G912" s="38"/>
      <c r="H912" s="38"/>
    </row>
    <row r="913" spans="2:8" x14ac:dyDescent="0.35">
      <c r="B913" s="38"/>
      <c r="C913" s="38"/>
      <c r="D913" s="38"/>
      <c r="E913" s="38"/>
      <c r="F913" s="38"/>
      <c r="G913" s="38"/>
      <c r="H913" s="38"/>
    </row>
    <row r="914" spans="2:8" x14ac:dyDescent="0.35">
      <c r="B914" s="38"/>
      <c r="C914" s="38"/>
      <c r="D914" s="38"/>
      <c r="E914" s="38"/>
      <c r="F914" s="38"/>
      <c r="G914" s="38"/>
      <c r="H914" s="38"/>
    </row>
    <row r="915" spans="2:8" x14ac:dyDescent="0.35">
      <c r="B915" s="38"/>
      <c r="C915" s="38"/>
      <c r="D915" s="38"/>
      <c r="E915" s="38"/>
      <c r="F915" s="38"/>
      <c r="G915" s="38"/>
      <c r="H915" s="38"/>
    </row>
    <row r="916" spans="2:8" x14ac:dyDescent="0.35">
      <c r="B916" s="38"/>
      <c r="C916" s="38"/>
      <c r="D916" s="38"/>
      <c r="E916" s="38"/>
      <c r="F916" s="38"/>
      <c r="G916" s="38"/>
      <c r="H916" s="38"/>
    </row>
    <row r="917" spans="2:8" x14ac:dyDescent="0.35">
      <c r="B917" s="38"/>
      <c r="C917" s="38"/>
      <c r="D917" s="38"/>
      <c r="E917" s="38"/>
      <c r="F917" s="38"/>
      <c r="G917" s="38"/>
      <c r="H917" s="38"/>
    </row>
    <row r="918" spans="2:8" x14ac:dyDescent="0.35">
      <c r="B918" s="38"/>
      <c r="C918" s="38"/>
      <c r="D918" s="38"/>
      <c r="E918" s="38"/>
      <c r="F918" s="38"/>
      <c r="G918" s="38"/>
      <c r="H918" s="38"/>
    </row>
    <row r="919" spans="2:8" x14ac:dyDescent="0.35">
      <c r="B919" s="38"/>
      <c r="C919" s="38"/>
      <c r="D919" s="38"/>
      <c r="E919" s="38"/>
      <c r="F919" s="38"/>
      <c r="G919" s="38"/>
      <c r="H919" s="38"/>
    </row>
    <row r="920" spans="2:8" x14ac:dyDescent="0.35">
      <c r="B920" s="38"/>
      <c r="C920" s="38"/>
      <c r="D920" s="38"/>
      <c r="E920" s="38"/>
      <c r="F920" s="38"/>
      <c r="G920" s="38"/>
      <c r="H920" s="38"/>
    </row>
    <row r="921" spans="2:8" x14ac:dyDescent="0.35">
      <c r="B921" s="38"/>
      <c r="C921" s="38"/>
      <c r="D921" s="38"/>
      <c r="E921" s="38"/>
      <c r="F921" s="38"/>
      <c r="G921" s="38"/>
      <c r="H921" s="38"/>
    </row>
    <row r="922" spans="2:8" x14ac:dyDescent="0.35">
      <c r="B922" s="38"/>
      <c r="C922" s="38"/>
      <c r="D922" s="38"/>
      <c r="E922" s="38"/>
      <c r="F922" s="38"/>
      <c r="G922" s="38"/>
      <c r="H922" s="38"/>
    </row>
    <row r="923" spans="2:8" x14ac:dyDescent="0.35">
      <c r="B923" s="38"/>
      <c r="C923" s="38"/>
      <c r="D923" s="38"/>
      <c r="E923" s="38"/>
      <c r="F923" s="38"/>
      <c r="G923" s="38"/>
      <c r="H923" s="38"/>
    </row>
    <row r="924" spans="2:8" x14ac:dyDescent="0.35">
      <c r="B924" s="38"/>
      <c r="C924" s="38"/>
      <c r="D924" s="38"/>
      <c r="E924" s="38"/>
      <c r="F924" s="38"/>
      <c r="G924" s="38"/>
      <c r="H924" s="38"/>
    </row>
    <row r="925" spans="2:8" x14ac:dyDescent="0.35">
      <c r="B925" s="38"/>
      <c r="C925" s="38"/>
      <c r="D925" s="38"/>
      <c r="E925" s="38"/>
      <c r="F925" s="38"/>
      <c r="G925" s="38"/>
      <c r="H925" s="38"/>
    </row>
    <row r="926" spans="2:8" x14ac:dyDescent="0.35">
      <c r="B926" s="38"/>
      <c r="C926" s="38"/>
      <c r="D926" s="38"/>
      <c r="E926" s="38"/>
      <c r="F926" s="38"/>
      <c r="G926" s="38"/>
      <c r="H926" s="38"/>
    </row>
    <row r="927" spans="2:8" x14ac:dyDescent="0.35">
      <c r="B927" s="38"/>
      <c r="C927" s="38"/>
      <c r="D927" s="38"/>
      <c r="E927" s="38"/>
      <c r="F927" s="38"/>
      <c r="G927" s="38"/>
      <c r="H927" s="38"/>
    </row>
    <row r="928" spans="2:8" x14ac:dyDescent="0.35">
      <c r="B928" s="38"/>
      <c r="C928" s="38"/>
      <c r="D928" s="38"/>
      <c r="E928" s="38"/>
      <c r="F928" s="38"/>
      <c r="G928" s="38"/>
      <c r="H928" s="38"/>
    </row>
    <row r="929" spans="2:8" x14ac:dyDescent="0.35">
      <c r="B929" s="38"/>
      <c r="C929" s="38"/>
      <c r="D929" s="38"/>
      <c r="E929" s="38"/>
      <c r="F929" s="38"/>
      <c r="G929" s="38"/>
      <c r="H929" s="38"/>
    </row>
    <row r="930" spans="2:8" x14ac:dyDescent="0.35">
      <c r="B930" s="38"/>
      <c r="C930" s="38"/>
      <c r="D930" s="38"/>
      <c r="E930" s="38"/>
      <c r="F930" s="38"/>
      <c r="G930" s="38"/>
      <c r="H930" s="38"/>
    </row>
    <row r="931" spans="2:8" x14ac:dyDescent="0.35">
      <c r="B931" s="38"/>
      <c r="C931" s="38"/>
      <c r="D931" s="38"/>
      <c r="E931" s="38"/>
      <c r="F931" s="38"/>
      <c r="G931" s="38"/>
      <c r="H931" s="38"/>
    </row>
    <row r="932" spans="2:8" x14ac:dyDescent="0.35">
      <c r="B932" s="38"/>
      <c r="C932" s="38"/>
      <c r="D932" s="38"/>
      <c r="E932" s="38"/>
      <c r="F932" s="38"/>
      <c r="G932" s="38"/>
      <c r="H932" s="38"/>
    </row>
    <row r="933" spans="2:8" x14ac:dyDescent="0.35">
      <c r="B933" s="38"/>
      <c r="C933" s="38"/>
      <c r="D933" s="38"/>
      <c r="E933" s="38"/>
      <c r="F933" s="38"/>
      <c r="G933" s="38"/>
      <c r="H933" s="38"/>
    </row>
    <row r="934" spans="2:8" x14ac:dyDescent="0.35">
      <c r="B934" s="38"/>
      <c r="C934" s="38"/>
      <c r="D934" s="38"/>
      <c r="E934" s="38"/>
      <c r="F934" s="38"/>
      <c r="G934" s="38"/>
      <c r="H934" s="38"/>
    </row>
    <row r="935" spans="2:8" x14ac:dyDescent="0.35">
      <c r="B935" s="38"/>
      <c r="C935" s="38"/>
      <c r="D935" s="38"/>
      <c r="E935" s="38"/>
      <c r="F935" s="38"/>
      <c r="G935" s="38"/>
      <c r="H935" s="38"/>
    </row>
    <row r="936" spans="2:8" x14ac:dyDescent="0.35">
      <c r="B936" s="38"/>
      <c r="C936" s="38"/>
      <c r="D936" s="38"/>
      <c r="E936" s="38"/>
      <c r="F936" s="38"/>
      <c r="G936" s="38"/>
      <c r="H936" s="38"/>
    </row>
    <row r="937" spans="2:8" x14ac:dyDescent="0.35">
      <c r="B937" s="38"/>
      <c r="C937" s="38"/>
      <c r="D937" s="38"/>
      <c r="E937" s="38"/>
      <c r="F937" s="38"/>
      <c r="G937" s="38"/>
      <c r="H937" s="38"/>
    </row>
    <row r="938" spans="2:8" x14ac:dyDescent="0.35">
      <c r="B938" s="38"/>
      <c r="C938" s="38"/>
      <c r="D938" s="38"/>
      <c r="E938" s="38"/>
      <c r="F938" s="38"/>
      <c r="G938" s="38"/>
      <c r="H938" s="38"/>
    </row>
    <row r="939" spans="2:8" x14ac:dyDescent="0.35">
      <c r="B939" s="38"/>
      <c r="C939" s="38"/>
      <c r="D939" s="38"/>
      <c r="E939" s="38"/>
      <c r="F939" s="38"/>
      <c r="G939" s="38"/>
      <c r="H939" s="38"/>
    </row>
    <row r="940" spans="2:8" x14ac:dyDescent="0.35">
      <c r="B940" s="38"/>
      <c r="C940" s="38"/>
      <c r="D940" s="38"/>
      <c r="E940" s="38"/>
      <c r="F940" s="38"/>
      <c r="G940" s="38"/>
      <c r="H940" s="38"/>
    </row>
    <row r="941" spans="2:8" x14ac:dyDescent="0.35">
      <c r="B941" s="38"/>
      <c r="C941" s="38"/>
      <c r="D941" s="38"/>
      <c r="E941" s="38"/>
      <c r="F941" s="38"/>
      <c r="G941" s="38"/>
      <c r="H941" s="38"/>
    </row>
    <row r="942" spans="2:8" x14ac:dyDescent="0.35">
      <c r="B942" s="38"/>
      <c r="C942" s="38"/>
      <c r="D942" s="38"/>
      <c r="E942" s="38"/>
      <c r="F942" s="38"/>
      <c r="G942" s="38"/>
      <c r="H942" s="38"/>
    </row>
    <row r="943" spans="2:8" x14ac:dyDescent="0.35">
      <c r="B943" s="38"/>
      <c r="C943" s="38"/>
      <c r="D943" s="38"/>
      <c r="E943" s="38"/>
      <c r="F943" s="38"/>
      <c r="G943" s="38"/>
      <c r="H943" s="38"/>
    </row>
    <row r="944" spans="2:8" x14ac:dyDescent="0.35">
      <c r="B944" s="38"/>
      <c r="C944" s="38"/>
      <c r="D944" s="38"/>
      <c r="E944" s="38"/>
      <c r="F944" s="38"/>
      <c r="G944" s="38"/>
      <c r="H944" s="38"/>
    </row>
    <row r="945" spans="2:8" x14ac:dyDescent="0.35">
      <c r="B945" s="38"/>
      <c r="C945" s="38"/>
      <c r="D945" s="38"/>
      <c r="E945" s="38"/>
      <c r="F945" s="38"/>
      <c r="G945" s="38"/>
      <c r="H945" s="38"/>
    </row>
    <row r="946" spans="2:8" x14ac:dyDescent="0.35">
      <c r="B946" s="38"/>
      <c r="C946" s="38"/>
      <c r="D946" s="38"/>
      <c r="E946" s="38"/>
      <c r="F946" s="38"/>
      <c r="G946" s="38"/>
      <c r="H946" s="38"/>
    </row>
    <row r="947" spans="2:8" x14ac:dyDescent="0.35">
      <c r="B947" s="38"/>
      <c r="C947" s="38"/>
      <c r="D947" s="38"/>
      <c r="E947" s="38"/>
      <c r="F947" s="38"/>
      <c r="G947" s="38"/>
      <c r="H947" s="38"/>
    </row>
    <row r="948" spans="2:8" x14ac:dyDescent="0.35">
      <c r="B948" s="38"/>
      <c r="C948" s="38"/>
      <c r="D948" s="38"/>
      <c r="E948" s="38"/>
      <c r="F948" s="38"/>
      <c r="G948" s="38"/>
      <c r="H948" s="38"/>
    </row>
    <row r="949" spans="2:8" x14ac:dyDescent="0.35">
      <c r="B949" s="38"/>
      <c r="C949" s="38"/>
      <c r="D949" s="38"/>
      <c r="E949" s="38"/>
      <c r="F949" s="38"/>
      <c r="G949" s="38"/>
      <c r="H949" s="38"/>
    </row>
    <row r="950" spans="2:8" x14ac:dyDescent="0.35">
      <c r="B950" s="38"/>
      <c r="C950" s="38"/>
      <c r="D950" s="38"/>
      <c r="E950" s="38"/>
      <c r="F950" s="38"/>
      <c r="G950" s="38"/>
      <c r="H950" s="38"/>
    </row>
    <row r="951" spans="2:8" x14ac:dyDescent="0.35">
      <c r="B951" s="38"/>
      <c r="C951" s="38"/>
      <c r="D951" s="38"/>
      <c r="E951" s="38"/>
      <c r="F951" s="38"/>
      <c r="G951" s="38"/>
      <c r="H951" s="38"/>
    </row>
    <row r="952" spans="2:8" x14ac:dyDescent="0.35">
      <c r="B952" s="38"/>
      <c r="C952" s="38"/>
      <c r="D952" s="38"/>
      <c r="E952" s="38"/>
      <c r="F952" s="38"/>
      <c r="G952" s="38"/>
      <c r="H952" s="38"/>
    </row>
    <row r="953" spans="2:8" x14ac:dyDescent="0.35">
      <c r="B953" s="38"/>
      <c r="C953" s="38"/>
      <c r="D953" s="38"/>
      <c r="E953" s="38"/>
      <c r="F953" s="38"/>
      <c r="G953" s="38"/>
      <c r="H953" s="38"/>
    </row>
    <row r="954" spans="2:8" x14ac:dyDescent="0.35">
      <c r="B954" s="38"/>
      <c r="C954" s="38"/>
      <c r="D954" s="38"/>
      <c r="E954" s="38"/>
      <c r="F954" s="38"/>
      <c r="G954" s="38"/>
      <c r="H954" s="38"/>
    </row>
    <row r="955" spans="2:8" x14ac:dyDescent="0.35">
      <c r="B955" s="38"/>
      <c r="C955" s="38"/>
      <c r="D955" s="38"/>
      <c r="E955" s="38"/>
      <c r="F955" s="38"/>
      <c r="G955" s="38"/>
      <c r="H955" s="38"/>
    </row>
    <row r="956" spans="2:8" x14ac:dyDescent="0.35">
      <c r="B956" s="38"/>
      <c r="C956" s="38"/>
      <c r="D956" s="38"/>
      <c r="E956" s="38"/>
      <c r="F956" s="38"/>
      <c r="G956" s="38"/>
      <c r="H956" s="38"/>
    </row>
    <row r="957" spans="2:8" x14ac:dyDescent="0.35">
      <c r="B957" s="38"/>
      <c r="C957" s="38"/>
      <c r="D957" s="38"/>
      <c r="E957" s="38"/>
      <c r="F957" s="38"/>
      <c r="G957" s="38"/>
      <c r="H957" s="38"/>
    </row>
    <row r="958" spans="2:8" x14ac:dyDescent="0.35">
      <c r="B958" s="38"/>
      <c r="C958" s="38"/>
      <c r="D958" s="38"/>
      <c r="E958" s="38"/>
      <c r="F958" s="38"/>
      <c r="G958" s="38"/>
      <c r="H958" s="38"/>
    </row>
    <row r="959" spans="2:8" x14ac:dyDescent="0.35">
      <c r="B959" s="38"/>
      <c r="C959" s="38"/>
      <c r="D959" s="38"/>
      <c r="E959" s="38"/>
      <c r="F959" s="38"/>
      <c r="G959" s="38"/>
      <c r="H959" s="38"/>
    </row>
    <row r="960" spans="2:8" x14ac:dyDescent="0.35">
      <c r="B960" s="38"/>
      <c r="C960" s="38"/>
      <c r="D960" s="38"/>
      <c r="E960" s="38"/>
      <c r="F960" s="38"/>
      <c r="G960" s="38"/>
      <c r="H960" s="38"/>
    </row>
    <row r="961" spans="2:8" x14ac:dyDescent="0.35">
      <c r="B961" s="38"/>
      <c r="C961" s="38"/>
      <c r="D961" s="38"/>
      <c r="E961" s="38"/>
      <c r="F961" s="38"/>
      <c r="G961" s="38"/>
      <c r="H961" s="38"/>
    </row>
    <row r="962" spans="2:8" x14ac:dyDescent="0.35">
      <c r="B962" s="38"/>
      <c r="C962" s="38"/>
      <c r="D962" s="38"/>
      <c r="E962" s="38"/>
      <c r="F962" s="38"/>
      <c r="G962" s="38"/>
      <c r="H962" s="38"/>
    </row>
    <row r="963" spans="2:8" x14ac:dyDescent="0.35">
      <c r="B963" s="38"/>
      <c r="C963" s="38"/>
      <c r="D963" s="38"/>
      <c r="E963" s="38"/>
      <c r="F963" s="38"/>
      <c r="G963" s="38"/>
      <c r="H963" s="38"/>
    </row>
    <row r="964" spans="2:8" x14ac:dyDescent="0.35">
      <c r="B964" s="38"/>
      <c r="C964" s="38"/>
      <c r="D964" s="38"/>
      <c r="E964" s="38"/>
      <c r="F964" s="38"/>
      <c r="G964" s="38"/>
      <c r="H964" s="38"/>
    </row>
    <row r="965" spans="2:8" x14ac:dyDescent="0.35">
      <c r="B965" s="38"/>
      <c r="C965" s="38"/>
      <c r="D965" s="38"/>
      <c r="E965" s="38"/>
      <c r="F965" s="38"/>
      <c r="G965" s="38"/>
      <c r="H965" s="38"/>
    </row>
    <row r="966" spans="2:8" x14ac:dyDescent="0.35">
      <c r="B966" s="38"/>
      <c r="C966" s="38"/>
      <c r="D966" s="38"/>
      <c r="E966" s="38"/>
      <c r="F966" s="38"/>
      <c r="G966" s="38"/>
      <c r="H966" s="38"/>
    </row>
    <row r="967" spans="2:8" x14ac:dyDescent="0.35">
      <c r="B967" s="38"/>
      <c r="C967" s="38"/>
      <c r="D967" s="38"/>
      <c r="E967" s="38"/>
      <c r="F967" s="38"/>
      <c r="G967" s="38"/>
      <c r="H967" s="38"/>
    </row>
    <row r="968" spans="2:8" x14ac:dyDescent="0.35">
      <c r="B968" s="38"/>
      <c r="C968" s="38"/>
      <c r="D968" s="38"/>
      <c r="E968" s="38"/>
      <c r="F968" s="38"/>
      <c r="G968" s="38"/>
      <c r="H968" s="38"/>
    </row>
    <row r="969" spans="2:8" x14ac:dyDescent="0.35">
      <c r="B969" s="38"/>
      <c r="C969" s="38"/>
      <c r="D969" s="38"/>
      <c r="E969" s="38"/>
      <c r="F969" s="38"/>
      <c r="G969" s="38"/>
      <c r="H969" s="38"/>
    </row>
    <row r="970" spans="2:8" x14ac:dyDescent="0.35">
      <c r="B970" s="38"/>
      <c r="C970" s="38"/>
      <c r="D970" s="38"/>
      <c r="E970" s="38"/>
      <c r="F970" s="38"/>
      <c r="G970" s="38"/>
      <c r="H970" s="38"/>
    </row>
    <row r="971" spans="2:8" x14ac:dyDescent="0.35">
      <c r="B971" s="38"/>
      <c r="C971" s="38"/>
      <c r="D971" s="38"/>
      <c r="E971" s="38"/>
      <c r="F971" s="38"/>
      <c r="G971" s="38"/>
      <c r="H971" s="38"/>
    </row>
    <row r="972" spans="2:8" x14ac:dyDescent="0.35">
      <c r="B972" s="38"/>
      <c r="C972" s="38"/>
      <c r="D972" s="38"/>
      <c r="E972" s="38"/>
      <c r="F972" s="38"/>
      <c r="G972" s="38"/>
      <c r="H972" s="38"/>
    </row>
    <row r="973" spans="2:8" x14ac:dyDescent="0.35">
      <c r="B973" s="38"/>
      <c r="C973" s="38"/>
      <c r="D973" s="38"/>
      <c r="E973" s="38"/>
      <c r="F973" s="38"/>
      <c r="G973" s="38"/>
      <c r="H973" s="38"/>
    </row>
    <row r="974" spans="2:8" x14ac:dyDescent="0.35">
      <c r="B974" s="38"/>
      <c r="C974" s="38"/>
      <c r="D974" s="38"/>
      <c r="E974" s="38"/>
      <c r="F974" s="38"/>
      <c r="G974" s="38"/>
      <c r="H974" s="38"/>
    </row>
    <row r="975" spans="2:8" x14ac:dyDescent="0.35">
      <c r="B975" s="38"/>
      <c r="C975" s="38"/>
      <c r="D975" s="38"/>
      <c r="E975" s="38"/>
      <c r="F975" s="38"/>
      <c r="G975" s="38"/>
      <c r="H975" s="38"/>
    </row>
    <row r="976" spans="2:8" x14ac:dyDescent="0.35">
      <c r="B976" s="38"/>
      <c r="C976" s="38"/>
      <c r="D976" s="38"/>
      <c r="E976" s="38"/>
      <c r="F976" s="38"/>
      <c r="G976" s="38"/>
      <c r="H976" s="38"/>
    </row>
    <row r="977" spans="2:8" x14ac:dyDescent="0.35">
      <c r="B977" s="38"/>
      <c r="C977" s="38"/>
      <c r="D977" s="38"/>
      <c r="E977" s="38"/>
      <c r="F977" s="38"/>
      <c r="G977" s="38"/>
      <c r="H977" s="38"/>
    </row>
    <row r="978" spans="2:8" x14ac:dyDescent="0.35">
      <c r="B978" s="38"/>
      <c r="C978" s="38"/>
      <c r="D978" s="38"/>
      <c r="E978" s="38"/>
      <c r="F978" s="38"/>
      <c r="G978" s="38"/>
      <c r="H978" s="38"/>
    </row>
    <row r="979" spans="2:8" x14ac:dyDescent="0.35">
      <c r="B979" s="38"/>
      <c r="C979" s="38"/>
      <c r="D979" s="38"/>
      <c r="E979" s="38"/>
      <c r="F979" s="38"/>
      <c r="G979" s="38"/>
      <c r="H979" s="38"/>
    </row>
    <row r="980" spans="2:8" x14ac:dyDescent="0.35">
      <c r="B980" s="38"/>
      <c r="C980" s="38"/>
      <c r="D980" s="38"/>
      <c r="E980" s="38"/>
      <c r="F980" s="38"/>
      <c r="G980" s="38"/>
      <c r="H980" s="38"/>
    </row>
    <row r="981" spans="2:8" x14ac:dyDescent="0.35">
      <c r="B981" s="38"/>
      <c r="C981" s="38"/>
      <c r="D981" s="38"/>
      <c r="E981" s="38"/>
      <c r="F981" s="38"/>
      <c r="G981" s="38"/>
      <c r="H981" s="38"/>
    </row>
    <row r="982" spans="2:8" x14ac:dyDescent="0.35">
      <c r="B982" s="38"/>
      <c r="C982" s="38"/>
      <c r="D982" s="38"/>
      <c r="E982" s="38"/>
      <c r="F982" s="38"/>
      <c r="G982" s="38"/>
      <c r="H982" s="38"/>
    </row>
    <row r="983" spans="2:8" x14ac:dyDescent="0.35">
      <c r="B983" s="38"/>
      <c r="C983" s="38"/>
      <c r="D983" s="38"/>
      <c r="E983" s="38"/>
      <c r="F983" s="38"/>
      <c r="G983" s="38"/>
      <c r="H983" s="38"/>
    </row>
    <row r="984" spans="2:8" x14ac:dyDescent="0.35">
      <c r="B984" s="38"/>
      <c r="C984" s="38"/>
      <c r="D984" s="38"/>
      <c r="E984" s="38"/>
      <c r="F984" s="38"/>
      <c r="G984" s="38"/>
      <c r="H984" s="38"/>
    </row>
    <row r="985" spans="2:8" x14ac:dyDescent="0.35">
      <c r="B985" s="38"/>
      <c r="C985" s="38"/>
      <c r="D985" s="38"/>
      <c r="E985" s="38"/>
      <c r="F985" s="38"/>
      <c r="G985" s="38"/>
      <c r="H985" s="38"/>
    </row>
    <row r="986" spans="2:8" x14ac:dyDescent="0.35">
      <c r="B986" s="38"/>
      <c r="C986" s="38"/>
      <c r="D986" s="38"/>
      <c r="E986" s="38"/>
      <c r="F986" s="38"/>
      <c r="G986" s="38"/>
      <c r="H986" s="38"/>
    </row>
    <row r="987" spans="2:8" x14ac:dyDescent="0.35">
      <c r="B987" s="38"/>
      <c r="C987" s="38"/>
      <c r="D987" s="38"/>
      <c r="E987" s="38"/>
      <c r="F987" s="38"/>
      <c r="G987" s="38"/>
      <c r="H987" s="38"/>
    </row>
    <row r="988" spans="2:8" x14ac:dyDescent="0.35">
      <c r="B988" s="38"/>
      <c r="C988" s="38"/>
      <c r="D988" s="38"/>
      <c r="E988" s="38"/>
      <c r="F988" s="38"/>
      <c r="G988" s="38"/>
      <c r="H988" s="38"/>
    </row>
    <row r="989" spans="2:8" x14ac:dyDescent="0.35">
      <c r="B989" s="38"/>
      <c r="C989" s="38"/>
      <c r="D989" s="38"/>
      <c r="E989" s="38"/>
      <c r="F989" s="38"/>
      <c r="G989" s="38"/>
      <c r="H989" s="38"/>
    </row>
    <row r="990" spans="2:8" x14ac:dyDescent="0.35">
      <c r="B990" s="38"/>
      <c r="C990" s="38"/>
      <c r="D990" s="38"/>
      <c r="E990" s="38"/>
      <c r="F990" s="38"/>
      <c r="G990" s="38"/>
      <c r="H990" s="38"/>
    </row>
    <row r="991" spans="2:8" x14ac:dyDescent="0.35">
      <c r="B991" s="38"/>
      <c r="C991" s="38"/>
      <c r="D991" s="38"/>
      <c r="E991" s="38"/>
      <c r="F991" s="38"/>
      <c r="G991" s="38"/>
      <c r="H991" s="38"/>
    </row>
    <row r="992" spans="2:8" x14ac:dyDescent="0.35">
      <c r="B992" s="38"/>
      <c r="C992" s="38"/>
      <c r="D992" s="38"/>
      <c r="E992" s="38"/>
      <c r="F992" s="38"/>
      <c r="G992" s="38"/>
      <c r="H992" s="38"/>
    </row>
    <row r="993" spans="2:8" x14ac:dyDescent="0.35">
      <c r="B993" s="38"/>
      <c r="C993" s="38"/>
      <c r="D993" s="38"/>
      <c r="E993" s="38"/>
      <c r="F993" s="38"/>
      <c r="G993" s="38"/>
      <c r="H993" s="38"/>
    </row>
    <row r="994" spans="2:8" x14ac:dyDescent="0.35">
      <c r="B994" s="38"/>
      <c r="C994" s="38"/>
      <c r="D994" s="38"/>
      <c r="E994" s="38"/>
      <c r="F994" s="38"/>
      <c r="G994" s="38"/>
      <c r="H994" s="38"/>
    </row>
    <row r="995" spans="2:8" x14ac:dyDescent="0.35">
      <c r="B995" s="38"/>
      <c r="C995" s="38"/>
      <c r="D995" s="38"/>
      <c r="E995" s="38"/>
      <c r="F995" s="38"/>
      <c r="G995" s="38"/>
      <c r="H995" s="38"/>
    </row>
    <row r="996" spans="2:8" x14ac:dyDescent="0.35">
      <c r="B996" s="38"/>
      <c r="C996" s="38"/>
      <c r="D996" s="38"/>
      <c r="E996" s="38"/>
      <c r="F996" s="38"/>
      <c r="G996" s="38"/>
      <c r="H996" s="38"/>
    </row>
    <row r="997" spans="2:8" x14ac:dyDescent="0.35">
      <c r="B997" s="38"/>
      <c r="C997" s="38"/>
      <c r="D997" s="38"/>
      <c r="E997" s="38"/>
      <c r="F997" s="38"/>
      <c r="G997" s="38"/>
      <c r="H997" s="38"/>
    </row>
    <row r="998" spans="2:8" x14ac:dyDescent="0.35">
      <c r="B998" s="38"/>
      <c r="C998" s="38"/>
      <c r="D998" s="38"/>
      <c r="E998" s="38"/>
      <c r="F998" s="38"/>
      <c r="G998" s="38"/>
      <c r="H998" s="38"/>
    </row>
    <row r="999" spans="2:8" x14ac:dyDescent="0.35">
      <c r="B999" s="38"/>
      <c r="C999" s="38"/>
      <c r="D999" s="38"/>
      <c r="E999" s="38"/>
      <c r="F999" s="38"/>
      <c r="G999" s="38"/>
      <c r="H999" s="38"/>
    </row>
    <row r="1000" spans="2:8" x14ac:dyDescent="0.35">
      <c r="B1000" s="38"/>
      <c r="C1000" s="38"/>
      <c r="D1000" s="38"/>
      <c r="E1000" s="38"/>
      <c r="F1000" s="38"/>
      <c r="G1000" s="38"/>
      <c r="H1000" s="38"/>
    </row>
    <row r="1001" spans="2:8" x14ac:dyDescent="0.35">
      <c r="B1001" s="38"/>
      <c r="C1001" s="38"/>
      <c r="D1001" s="38"/>
      <c r="E1001" s="38"/>
      <c r="F1001" s="38"/>
      <c r="G1001" s="38"/>
      <c r="H1001" s="38"/>
    </row>
    <row r="1002" spans="2:8" x14ac:dyDescent="0.35">
      <c r="B1002" s="38"/>
      <c r="C1002" s="38"/>
      <c r="D1002" s="38"/>
      <c r="E1002" s="38"/>
      <c r="F1002" s="38"/>
      <c r="G1002" s="38"/>
      <c r="H1002" s="38"/>
    </row>
    <row r="1003" spans="2:8" x14ac:dyDescent="0.35">
      <c r="B1003" s="38"/>
      <c r="C1003" s="38"/>
      <c r="D1003" s="38"/>
      <c r="E1003" s="38"/>
      <c r="F1003" s="38"/>
      <c r="G1003" s="38"/>
      <c r="H1003" s="38"/>
    </row>
    <row r="1004" spans="2:8" x14ac:dyDescent="0.35">
      <c r="B1004" s="38"/>
      <c r="C1004" s="38"/>
      <c r="D1004" s="38"/>
      <c r="E1004" s="38"/>
      <c r="F1004" s="38"/>
      <c r="G1004" s="38"/>
      <c r="H1004" s="38"/>
    </row>
    <row r="1005" spans="2:8" x14ac:dyDescent="0.35">
      <c r="B1005" s="38"/>
      <c r="C1005" s="38"/>
      <c r="D1005" s="38"/>
      <c r="E1005" s="38"/>
      <c r="F1005" s="38"/>
      <c r="G1005" s="38"/>
      <c r="H1005" s="38"/>
    </row>
    <row r="1006" spans="2:8" x14ac:dyDescent="0.35">
      <c r="B1006" s="38"/>
      <c r="C1006" s="38"/>
      <c r="D1006" s="38"/>
      <c r="E1006" s="38"/>
      <c r="F1006" s="38"/>
      <c r="G1006" s="38"/>
      <c r="H1006" s="38"/>
    </row>
    <row r="1007" spans="2:8" x14ac:dyDescent="0.35">
      <c r="B1007" s="38"/>
      <c r="C1007" s="38"/>
      <c r="D1007" s="38"/>
      <c r="E1007" s="38"/>
      <c r="F1007" s="38"/>
      <c r="G1007" s="38"/>
      <c r="H1007" s="38"/>
    </row>
    <row r="1008" spans="2:8" x14ac:dyDescent="0.35">
      <c r="B1008" s="38"/>
      <c r="C1008" s="38"/>
      <c r="D1008" s="38"/>
      <c r="E1008" s="38"/>
      <c r="F1008" s="38"/>
      <c r="G1008" s="38"/>
      <c r="H1008" s="38"/>
    </row>
    <row r="1009" spans="2:8" x14ac:dyDescent="0.35">
      <c r="B1009" s="38"/>
      <c r="C1009" s="38"/>
      <c r="D1009" s="38"/>
      <c r="E1009" s="38"/>
      <c r="F1009" s="38"/>
      <c r="G1009" s="38"/>
      <c r="H1009" s="38"/>
    </row>
    <row r="1010" spans="2:8" x14ac:dyDescent="0.35">
      <c r="B1010" s="38"/>
      <c r="C1010" s="38"/>
      <c r="D1010" s="38"/>
      <c r="E1010" s="38"/>
      <c r="F1010" s="38"/>
      <c r="G1010" s="38"/>
      <c r="H1010" s="38"/>
    </row>
    <row r="1011" spans="2:8" x14ac:dyDescent="0.35">
      <c r="B1011" s="38"/>
      <c r="C1011" s="38"/>
      <c r="D1011" s="38"/>
      <c r="E1011" s="38"/>
      <c r="F1011" s="38"/>
      <c r="G1011" s="38"/>
      <c r="H1011" s="38"/>
    </row>
    <row r="1012" spans="2:8" x14ac:dyDescent="0.35">
      <c r="B1012" s="38"/>
      <c r="C1012" s="38"/>
      <c r="D1012" s="38"/>
      <c r="E1012" s="38"/>
      <c r="F1012" s="38"/>
      <c r="G1012" s="38"/>
      <c r="H1012" s="38"/>
    </row>
    <row r="1013" spans="2:8" x14ac:dyDescent="0.35">
      <c r="B1013" s="38"/>
      <c r="C1013" s="38"/>
      <c r="D1013" s="38"/>
      <c r="E1013" s="38"/>
      <c r="F1013" s="38"/>
      <c r="G1013" s="38"/>
      <c r="H1013" s="38"/>
    </row>
    <row r="1014" spans="2:8" x14ac:dyDescent="0.35">
      <c r="B1014" s="38"/>
      <c r="C1014" s="38"/>
      <c r="D1014" s="38"/>
      <c r="E1014" s="38"/>
      <c r="F1014" s="38"/>
      <c r="G1014" s="38"/>
      <c r="H1014" s="38"/>
    </row>
    <row r="1015" spans="2:8" x14ac:dyDescent="0.35">
      <c r="B1015" s="38"/>
      <c r="C1015" s="38"/>
      <c r="D1015" s="38"/>
      <c r="E1015" s="38"/>
      <c r="F1015" s="38"/>
      <c r="G1015" s="38"/>
      <c r="H1015" s="38"/>
    </row>
    <row r="1016" spans="2:8" x14ac:dyDescent="0.35">
      <c r="B1016" s="38"/>
      <c r="C1016" s="38"/>
      <c r="D1016" s="38"/>
      <c r="E1016" s="38"/>
      <c r="F1016" s="38"/>
      <c r="G1016" s="38"/>
      <c r="H1016" s="38"/>
    </row>
    <row r="1017" spans="2:8" x14ac:dyDescent="0.35">
      <c r="B1017" s="38"/>
      <c r="C1017" s="38"/>
      <c r="D1017" s="38"/>
      <c r="E1017" s="38"/>
      <c r="F1017" s="38"/>
      <c r="G1017" s="38"/>
      <c r="H1017" s="38"/>
    </row>
    <row r="1018" spans="2:8" x14ac:dyDescent="0.35">
      <c r="B1018" s="38"/>
      <c r="C1018" s="38"/>
      <c r="D1018" s="38"/>
      <c r="E1018" s="38"/>
      <c r="F1018" s="38"/>
      <c r="G1018" s="38"/>
      <c r="H1018" s="38"/>
    </row>
    <row r="1019" spans="2:8" x14ac:dyDescent="0.35">
      <c r="B1019" s="38"/>
      <c r="C1019" s="38"/>
      <c r="D1019" s="38"/>
      <c r="E1019" s="38"/>
      <c r="F1019" s="38"/>
      <c r="G1019" s="38"/>
      <c r="H1019" s="38"/>
    </row>
    <row r="1020" spans="2:8" x14ac:dyDescent="0.35">
      <c r="B1020" s="38"/>
      <c r="C1020" s="38"/>
      <c r="D1020" s="38"/>
      <c r="E1020" s="38"/>
      <c r="F1020" s="38"/>
      <c r="G1020" s="38"/>
      <c r="H1020" s="38"/>
    </row>
    <row r="1021" spans="2:8" x14ac:dyDescent="0.35">
      <c r="B1021" s="38"/>
      <c r="C1021" s="38"/>
      <c r="D1021" s="38"/>
      <c r="E1021" s="38"/>
      <c r="F1021" s="38"/>
      <c r="G1021" s="38"/>
      <c r="H1021" s="38"/>
    </row>
    <row r="1022" spans="2:8" x14ac:dyDescent="0.35">
      <c r="B1022" s="38"/>
      <c r="C1022" s="38"/>
      <c r="D1022" s="38"/>
      <c r="E1022" s="38"/>
      <c r="F1022" s="38"/>
      <c r="G1022" s="38"/>
      <c r="H1022" s="38"/>
    </row>
    <row r="1023" spans="2:8" x14ac:dyDescent="0.35">
      <c r="B1023" s="38"/>
      <c r="C1023" s="38"/>
      <c r="D1023" s="38"/>
      <c r="E1023" s="38"/>
      <c r="F1023" s="38"/>
      <c r="G1023" s="38"/>
      <c r="H1023" s="38"/>
    </row>
    <row r="1024" spans="2:8" x14ac:dyDescent="0.35">
      <c r="B1024" s="38"/>
      <c r="C1024" s="38"/>
      <c r="D1024" s="38"/>
      <c r="E1024" s="38"/>
      <c r="F1024" s="38"/>
      <c r="G1024" s="38"/>
      <c r="H1024" s="38"/>
    </row>
    <row r="1025" spans="2:8" x14ac:dyDescent="0.35">
      <c r="B1025" s="38"/>
      <c r="C1025" s="38"/>
      <c r="D1025" s="38"/>
      <c r="E1025" s="38"/>
      <c r="F1025" s="38"/>
      <c r="G1025" s="38"/>
      <c r="H1025" s="38"/>
    </row>
    <row r="1026" spans="2:8" x14ac:dyDescent="0.35">
      <c r="B1026" s="38"/>
      <c r="C1026" s="38"/>
      <c r="D1026" s="38"/>
      <c r="E1026" s="38"/>
      <c r="F1026" s="38"/>
      <c r="G1026" s="38"/>
      <c r="H1026" s="38"/>
    </row>
    <row r="1027" spans="2:8" x14ac:dyDescent="0.35">
      <c r="B1027" s="38"/>
      <c r="C1027" s="38"/>
      <c r="D1027" s="38"/>
      <c r="E1027" s="38"/>
      <c r="F1027" s="38"/>
      <c r="G1027" s="38"/>
      <c r="H1027" s="38"/>
    </row>
    <row r="1028" spans="2:8" x14ac:dyDescent="0.35">
      <c r="B1028" s="38"/>
      <c r="C1028" s="38"/>
      <c r="D1028" s="38"/>
      <c r="E1028" s="38"/>
      <c r="F1028" s="38"/>
      <c r="G1028" s="38"/>
      <c r="H1028" s="38"/>
    </row>
    <row r="1029" spans="2:8" x14ac:dyDescent="0.35">
      <c r="B1029" s="38"/>
      <c r="C1029" s="38"/>
      <c r="D1029" s="38"/>
      <c r="E1029" s="38"/>
      <c r="F1029" s="38"/>
      <c r="G1029" s="38"/>
      <c r="H1029" s="38"/>
    </row>
    <row r="1030" spans="2:8" x14ac:dyDescent="0.35">
      <c r="B1030" s="38"/>
      <c r="C1030" s="38"/>
      <c r="D1030" s="38"/>
      <c r="E1030" s="38"/>
      <c r="F1030" s="38"/>
      <c r="G1030" s="38"/>
      <c r="H1030" s="38"/>
    </row>
    <row r="1031" spans="2:8" x14ac:dyDescent="0.35">
      <c r="B1031" s="38"/>
      <c r="C1031" s="38"/>
      <c r="D1031" s="38"/>
      <c r="E1031" s="38"/>
      <c r="F1031" s="38"/>
      <c r="G1031" s="38"/>
      <c r="H1031" s="38"/>
    </row>
    <row r="1032" spans="2:8" x14ac:dyDescent="0.35">
      <c r="B1032" s="38"/>
      <c r="C1032" s="38"/>
      <c r="D1032" s="38"/>
      <c r="E1032" s="38"/>
      <c r="F1032" s="38"/>
      <c r="G1032" s="38"/>
      <c r="H1032" s="38"/>
    </row>
    <row r="1033" spans="2:8" x14ac:dyDescent="0.35">
      <c r="B1033" s="38"/>
      <c r="C1033" s="38"/>
      <c r="D1033" s="38"/>
      <c r="E1033" s="38"/>
      <c r="F1033" s="38"/>
      <c r="G1033" s="38"/>
      <c r="H1033" s="38"/>
    </row>
    <row r="1034" spans="2:8" x14ac:dyDescent="0.35">
      <c r="B1034" s="38"/>
      <c r="C1034" s="38"/>
      <c r="D1034" s="38"/>
      <c r="E1034" s="38"/>
      <c r="F1034" s="38"/>
      <c r="G1034" s="38"/>
      <c r="H1034" s="38"/>
    </row>
    <row r="1035" spans="2:8" x14ac:dyDescent="0.35">
      <c r="B1035" s="38"/>
      <c r="C1035" s="38"/>
      <c r="D1035" s="38"/>
      <c r="E1035" s="38"/>
      <c r="F1035" s="38"/>
      <c r="G1035" s="38"/>
      <c r="H1035" s="38"/>
    </row>
    <row r="1036" spans="2:8" x14ac:dyDescent="0.35">
      <c r="B1036" s="38"/>
      <c r="C1036" s="38"/>
      <c r="D1036" s="38"/>
      <c r="E1036" s="38"/>
      <c r="F1036" s="38"/>
      <c r="G1036" s="38"/>
      <c r="H1036" s="38"/>
    </row>
    <row r="1037" spans="2:8" x14ac:dyDescent="0.35">
      <c r="B1037" s="38"/>
      <c r="C1037" s="38"/>
      <c r="D1037" s="38"/>
      <c r="E1037" s="38"/>
      <c r="F1037" s="38"/>
      <c r="G1037" s="38"/>
      <c r="H1037" s="38"/>
    </row>
    <row r="1038" spans="2:8" x14ac:dyDescent="0.35">
      <c r="B1038" s="38"/>
      <c r="C1038" s="38"/>
      <c r="D1038" s="38"/>
      <c r="E1038" s="38"/>
      <c r="F1038" s="38"/>
      <c r="G1038" s="38"/>
      <c r="H1038" s="38"/>
    </row>
    <row r="1039" spans="2:8" x14ac:dyDescent="0.35">
      <c r="B1039" s="38"/>
      <c r="C1039" s="38"/>
      <c r="D1039" s="38"/>
      <c r="E1039" s="38"/>
      <c r="F1039" s="38"/>
      <c r="G1039" s="38"/>
      <c r="H1039" s="38"/>
    </row>
    <row r="1040" spans="2:8" x14ac:dyDescent="0.35">
      <c r="B1040" s="38"/>
      <c r="C1040" s="38"/>
      <c r="D1040" s="38"/>
      <c r="E1040" s="38"/>
      <c r="F1040" s="38"/>
      <c r="G1040" s="38"/>
      <c r="H1040" s="38"/>
    </row>
    <row r="1041" spans="2:8" x14ac:dyDescent="0.35">
      <c r="B1041" s="38"/>
      <c r="C1041" s="38"/>
      <c r="D1041" s="38"/>
      <c r="E1041" s="38"/>
      <c r="F1041" s="38"/>
      <c r="G1041" s="38"/>
      <c r="H1041" s="38"/>
    </row>
    <row r="1042" spans="2:8" x14ac:dyDescent="0.35">
      <c r="B1042" s="38"/>
      <c r="C1042" s="38"/>
      <c r="D1042" s="38"/>
      <c r="E1042" s="38"/>
      <c r="F1042" s="38"/>
      <c r="G1042" s="38"/>
      <c r="H1042" s="38"/>
    </row>
    <row r="1043" spans="2:8" x14ac:dyDescent="0.35">
      <c r="B1043" s="38"/>
      <c r="C1043" s="38"/>
      <c r="D1043" s="38"/>
      <c r="E1043" s="38"/>
      <c r="F1043" s="38"/>
      <c r="G1043" s="38"/>
      <c r="H1043" s="38"/>
    </row>
    <row r="1044" spans="2:8" x14ac:dyDescent="0.35">
      <c r="B1044" s="38"/>
      <c r="C1044" s="38"/>
      <c r="D1044" s="38"/>
      <c r="E1044" s="38"/>
      <c r="F1044" s="38"/>
      <c r="G1044" s="38"/>
      <c r="H1044" s="38"/>
    </row>
    <row r="1045" spans="2:8" x14ac:dyDescent="0.35">
      <c r="B1045" s="38"/>
      <c r="C1045" s="38"/>
      <c r="D1045" s="38"/>
      <c r="E1045" s="38"/>
      <c r="F1045" s="38"/>
      <c r="G1045" s="38"/>
      <c r="H1045" s="38"/>
    </row>
    <row r="1046" spans="2:8" x14ac:dyDescent="0.35">
      <c r="B1046" s="38"/>
      <c r="C1046" s="38"/>
      <c r="D1046" s="38"/>
      <c r="E1046" s="38"/>
      <c r="F1046" s="38"/>
      <c r="G1046" s="38"/>
      <c r="H1046" s="38"/>
    </row>
    <row r="1047" spans="2:8" x14ac:dyDescent="0.35">
      <c r="B1047" s="38"/>
      <c r="C1047" s="38"/>
      <c r="D1047" s="38"/>
      <c r="E1047" s="38"/>
      <c r="F1047" s="38"/>
      <c r="G1047" s="38"/>
      <c r="H1047" s="38"/>
    </row>
    <row r="1048" spans="2:8" x14ac:dyDescent="0.35">
      <c r="B1048" s="38"/>
      <c r="C1048" s="38"/>
      <c r="D1048" s="38"/>
      <c r="E1048" s="38"/>
      <c r="F1048" s="38"/>
      <c r="G1048" s="38"/>
      <c r="H1048" s="38"/>
    </row>
    <row r="1049" spans="2:8" x14ac:dyDescent="0.35">
      <c r="B1049" s="38"/>
      <c r="C1049" s="38"/>
      <c r="D1049" s="38"/>
      <c r="E1049" s="38"/>
      <c r="F1049" s="38"/>
      <c r="G1049" s="38"/>
      <c r="H1049" s="38"/>
    </row>
    <row r="1050" spans="2:8" x14ac:dyDescent="0.35">
      <c r="B1050" s="38"/>
      <c r="C1050" s="38"/>
      <c r="D1050" s="38"/>
      <c r="E1050" s="38"/>
      <c r="F1050" s="38"/>
      <c r="G1050" s="38"/>
      <c r="H1050" s="38"/>
    </row>
    <row r="1051" spans="2:8" x14ac:dyDescent="0.35">
      <c r="B1051" s="38"/>
      <c r="C1051" s="38"/>
      <c r="D1051" s="38"/>
      <c r="E1051" s="38"/>
      <c r="F1051" s="38"/>
      <c r="G1051" s="38"/>
      <c r="H1051" s="38"/>
    </row>
    <row r="1052" spans="2:8" x14ac:dyDescent="0.35">
      <c r="B1052" s="38"/>
      <c r="C1052" s="38"/>
      <c r="D1052" s="38"/>
      <c r="E1052" s="38"/>
      <c r="F1052" s="38"/>
      <c r="G1052" s="38"/>
      <c r="H1052" s="38"/>
    </row>
    <row r="1053" spans="2:8" x14ac:dyDescent="0.35">
      <c r="B1053" s="38"/>
      <c r="C1053" s="38"/>
      <c r="D1053" s="38"/>
      <c r="E1053" s="38"/>
      <c r="F1053" s="38"/>
      <c r="G1053" s="38"/>
      <c r="H1053" s="38"/>
    </row>
    <row r="1054" spans="2:8" x14ac:dyDescent="0.35">
      <c r="B1054" s="38"/>
      <c r="C1054" s="38"/>
      <c r="D1054" s="38"/>
      <c r="E1054" s="38"/>
      <c r="F1054" s="38"/>
      <c r="G1054" s="38"/>
      <c r="H1054" s="38"/>
    </row>
    <row r="1055" spans="2:8" x14ac:dyDescent="0.35">
      <c r="B1055" s="38"/>
      <c r="C1055" s="38"/>
      <c r="D1055" s="38"/>
      <c r="E1055" s="38"/>
      <c r="F1055" s="38"/>
      <c r="G1055" s="38"/>
      <c r="H1055" s="38"/>
    </row>
    <row r="1056" spans="2:8" x14ac:dyDescent="0.35">
      <c r="B1056" s="38"/>
      <c r="C1056" s="38"/>
      <c r="D1056" s="38"/>
      <c r="E1056" s="38"/>
      <c r="F1056" s="38"/>
      <c r="G1056" s="38"/>
      <c r="H1056" s="38"/>
    </row>
    <row r="1057" spans="2:8" x14ac:dyDescent="0.35">
      <c r="B1057" s="38"/>
      <c r="C1057" s="38"/>
      <c r="D1057" s="38"/>
      <c r="E1057" s="38"/>
      <c r="F1057" s="38"/>
      <c r="G1057" s="38"/>
      <c r="H1057" s="38"/>
    </row>
    <row r="1058" spans="2:8" x14ac:dyDescent="0.35">
      <c r="B1058" s="38"/>
      <c r="C1058" s="38"/>
      <c r="D1058" s="38"/>
      <c r="E1058" s="38"/>
      <c r="F1058" s="38"/>
      <c r="G1058" s="38"/>
      <c r="H1058" s="38"/>
    </row>
    <row r="1059" spans="2:8" x14ac:dyDescent="0.35">
      <c r="B1059" s="38"/>
      <c r="C1059" s="38"/>
      <c r="D1059" s="38"/>
      <c r="E1059" s="38"/>
      <c r="F1059" s="38"/>
      <c r="G1059" s="38"/>
      <c r="H1059" s="38"/>
    </row>
    <row r="1060" spans="2:8" x14ac:dyDescent="0.35">
      <c r="B1060" s="38"/>
      <c r="C1060" s="38"/>
      <c r="D1060" s="38"/>
      <c r="E1060" s="38"/>
      <c r="F1060" s="38"/>
      <c r="G1060" s="38"/>
      <c r="H1060" s="38"/>
    </row>
    <row r="1061" spans="2:8" x14ac:dyDescent="0.35">
      <c r="B1061" s="38"/>
      <c r="C1061" s="38"/>
      <c r="D1061" s="38"/>
      <c r="E1061" s="38"/>
      <c r="F1061" s="38"/>
      <c r="G1061" s="38"/>
      <c r="H1061" s="38"/>
    </row>
    <row r="1062" spans="2:8" x14ac:dyDescent="0.35">
      <c r="B1062" s="38"/>
      <c r="C1062" s="38"/>
      <c r="D1062" s="38"/>
      <c r="E1062" s="38"/>
      <c r="F1062" s="38"/>
      <c r="G1062" s="38"/>
      <c r="H1062" s="38"/>
    </row>
    <row r="1063" spans="2:8" x14ac:dyDescent="0.35">
      <c r="B1063" s="38"/>
      <c r="C1063" s="38"/>
      <c r="D1063" s="38"/>
      <c r="E1063" s="38"/>
      <c r="F1063" s="38"/>
      <c r="G1063" s="38"/>
      <c r="H1063" s="38"/>
    </row>
    <row r="1064" spans="2:8" x14ac:dyDescent="0.35">
      <c r="B1064" s="38"/>
      <c r="C1064" s="38"/>
      <c r="D1064" s="38"/>
      <c r="E1064" s="38"/>
      <c r="F1064" s="38"/>
      <c r="G1064" s="38"/>
      <c r="H1064" s="38"/>
    </row>
    <row r="1065" spans="2:8" x14ac:dyDescent="0.35">
      <c r="B1065" s="38"/>
      <c r="C1065" s="38"/>
      <c r="D1065" s="38"/>
      <c r="E1065" s="38"/>
      <c r="F1065" s="38"/>
      <c r="G1065" s="38"/>
      <c r="H1065" s="38"/>
    </row>
    <row r="1066" spans="2:8" x14ac:dyDescent="0.35">
      <c r="B1066" s="38"/>
      <c r="C1066" s="38"/>
      <c r="D1066" s="38"/>
      <c r="E1066" s="38"/>
      <c r="F1066" s="38"/>
      <c r="G1066" s="38"/>
      <c r="H1066" s="38"/>
    </row>
    <row r="1067" spans="2:8" x14ac:dyDescent="0.35">
      <c r="B1067" s="38"/>
      <c r="C1067" s="38"/>
      <c r="D1067" s="38"/>
      <c r="E1067" s="38"/>
      <c r="F1067" s="38"/>
      <c r="G1067" s="38"/>
      <c r="H1067" s="38"/>
    </row>
    <row r="1068" spans="2:8" x14ac:dyDescent="0.35">
      <c r="B1068" s="38"/>
      <c r="C1068" s="38"/>
      <c r="D1068" s="38"/>
      <c r="E1068" s="38"/>
      <c r="F1068" s="38"/>
      <c r="G1068" s="38"/>
      <c r="H1068" s="38"/>
    </row>
    <row r="1069" spans="2:8" x14ac:dyDescent="0.35">
      <c r="B1069" s="38"/>
      <c r="C1069" s="38"/>
      <c r="D1069" s="38"/>
      <c r="E1069" s="38"/>
      <c r="F1069" s="38"/>
      <c r="G1069" s="38"/>
      <c r="H1069" s="38"/>
    </row>
    <row r="1070" spans="2:8" x14ac:dyDescent="0.35">
      <c r="B1070" s="38"/>
      <c r="C1070" s="38"/>
      <c r="D1070" s="38"/>
      <c r="E1070" s="38"/>
      <c r="F1070" s="38"/>
      <c r="G1070" s="38"/>
      <c r="H1070" s="38"/>
    </row>
    <row r="1071" spans="2:8" x14ac:dyDescent="0.35">
      <c r="B1071" s="38"/>
      <c r="C1071" s="38"/>
      <c r="D1071" s="38"/>
      <c r="E1071" s="38"/>
      <c r="F1071" s="38"/>
      <c r="G1071" s="38"/>
      <c r="H1071" s="38"/>
    </row>
    <row r="1072" spans="2:8" x14ac:dyDescent="0.35">
      <c r="B1072" s="38"/>
      <c r="C1072" s="38"/>
      <c r="D1072" s="38"/>
      <c r="E1072" s="38"/>
      <c r="F1072" s="38"/>
      <c r="G1072" s="38"/>
      <c r="H1072" s="38"/>
    </row>
    <row r="1073" spans="2:8" x14ac:dyDescent="0.35">
      <c r="B1073" s="38"/>
      <c r="C1073" s="38"/>
      <c r="D1073" s="38"/>
      <c r="E1073" s="38"/>
      <c r="F1073" s="38"/>
      <c r="G1073" s="38"/>
      <c r="H1073" s="38"/>
    </row>
    <row r="1074" spans="2:8" x14ac:dyDescent="0.35">
      <c r="B1074" s="38"/>
      <c r="C1074" s="38"/>
      <c r="D1074" s="38"/>
      <c r="E1074" s="38"/>
      <c r="F1074" s="38"/>
      <c r="G1074" s="38"/>
      <c r="H1074" s="38"/>
    </row>
    <row r="1075" spans="2:8" x14ac:dyDescent="0.35">
      <c r="B1075" s="38"/>
      <c r="C1075" s="38"/>
      <c r="D1075" s="38"/>
      <c r="E1075" s="38"/>
      <c r="F1075" s="38"/>
      <c r="G1075" s="38"/>
      <c r="H1075" s="38"/>
    </row>
    <row r="1076" spans="2:8" x14ac:dyDescent="0.35">
      <c r="B1076" s="38"/>
      <c r="C1076" s="38"/>
      <c r="D1076" s="38"/>
      <c r="E1076" s="38"/>
      <c r="F1076" s="38"/>
      <c r="G1076" s="38"/>
      <c r="H1076" s="38"/>
    </row>
    <row r="1077" spans="2:8" x14ac:dyDescent="0.35">
      <c r="B1077" s="38"/>
      <c r="C1077" s="38"/>
      <c r="D1077" s="38"/>
      <c r="E1077" s="38"/>
      <c r="F1077" s="38"/>
      <c r="G1077" s="38"/>
      <c r="H1077" s="38"/>
    </row>
    <row r="1078" spans="2:8" x14ac:dyDescent="0.35">
      <c r="B1078" s="38"/>
      <c r="C1078" s="38"/>
      <c r="D1078" s="38"/>
      <c r="E1078" s="38"/>
      <c r="F1078" s="38"/>
      <c r="G1078" s="38"/>
      <c r="H1078" s="38"/>
    </row>
    <row r="1079" spans="2:8" x14ac:dyDescent="0.35">
      <c r="B1079" s="38"/>
      <c r="C1079" s="38"/>
      <c r="D1079" s="38"/>
      <c r="E1079" s="38"/>
      <c r="F1079" s="38"/>
      <c r="G1079" s="38"/>
      <c r="H1079" s="38"/>
    </row>
    <row r="1080" spans="2:8" x14ac:dyDescent="0.35">
      <c r="B1080" s="38"/>
      <c r="C1080" s="38"/>
      <c r="D1080" s="38"/>
      <c r="E1080" s="38"/>
      <c r="F1080" s="38"/>
      <c r="G1080" s="38"/>
      <c r="H1080" s="38"/>
    </row>
    <row r="1081" spans="2:8" x14ac:dyDescent="0.35">
      <c r="B1081" s="38"/>
      <c r="C1081" s="38"/>
      <c r="D1081" s="38"/>
      <c r="E1081" s="38"/>
      <c r="F1081" s="38"/>
      <c r="G1081" s="38"/>
      <c r="H1081" s="38"/>
    </row>
    <row r="1082" spans="2:8" x14ac:dyDescent="0.35">
      <c r="B1082" s="38"/>
      <c r="C1082" s="38"/>
      <c r="D1082" s="38"/>
      <c r="E1082" s="38"/>
      <c r="F1082" s="38"/>
      <c r="G1082" s="38"/>
      <c r="H1082" s="38"/>
    </row>
    <row r="1083" spans="2:8" x14ac:dyDescent="0.35">
      <c r="B1083" s="38"/>
      <c r="C1083" s="38"/>
      <c r="D1083" s="38"/>
      <c r="E1083" s="38"/>
      <c r="F1083" s="38"/>
      <c r="G1083" s="38"/>
      <c r="H1083" s="38"/>
    </row>
    <row r="1084" spans="2:8" x14ac:dyDescent="0.35">
      <c r="B1084" s="38"/>
      <c r="C1084" s="38"/>
      <c r="D1084" s="38"/>
      <c r="E1084" s="38"/>
      <c r="F1084" s="38"/>
      <c r="G1084" s="38"/>
      <c r="H1084" s="38"/>
    </row>
    <row r="1085" spans="2:8" x14ac:dyDescent="0.35">
      <c r="B1085" s="38"/>
      <c r="C1085" s="38"/>
      <c r="D1085" s="38"/>
      <c r="E1085" s="38"/>
      <c r="F1085" s="38"/>
      <c r="G1085" s="38"/>
      <c r="H1085" s="38"/>
    </row>
    <row r="1086" spans="2:8" x14ac:dyDescent="0.35">
      <c r="B1086" s="38"/>
      <c r="C1086" s="38"/>
      <c r="D1086" s="38"/>
      <c r="E1086" s="38"/>
      <c r="F1086" s="38"/>
      <c r="G1086" s="38"/>
      <c r="H1086" s="38"/>
    </row>
    <row r="1087" spans="2:8" x14ac:dyDescent="0.35">
      <c r="B1087" s="38"/>
      <c r="C1087" s="38"/>
      <c r="D1087" s="38"/>
      <c r="E1087" s="38"/>
      <c r="F1087" s="38"/>
      <c r="G1087" s="38"/>
      <c r="H1087" s="38"/>
    </row>
    <row r="1088" spans="2:8" x14ac:dyDescent="0.35">
      <c r="B1088" s="38"/>
      <c r="C1088" s="38"/>
      <c r="D1088" s="38"/>
      <c r="E1088" s="38"/>
      <c r="F1088" s="38"/>
      <c r="G1088" s="38"/>
      <c r="H1088" s="38"/>
    </row>
    <row r="1089" spans="2:8" x14ac:dyDescent="0.35">
      <c r="B1089" s="38"/>
      <c r="C1089" s="38"/>
      <c r="D1089" s="38"/>
      <c r="E1089" s="38"/>
      <c r="F1089" s="38"/>
      <c r="G1089" s="38"/>
      <c r="H1089" s="38"/>
    </row>
    <row r="1090" spans="2:8" x14ac:dyDescent="0.35">
      <c r="B1090" s="38"/>
      <c r="C1090" s="38"/>
      <c r="D1090" s="38"/>
      <c r="E1090" s="38"/>
      <c r="F1090" s="38"/>
      <c r="G1090" s="38"/>
      <c r="H1090" s="38"/>
    </row>
    <row r="1091" spans="2:8" x14ac:dyDescent="0.35">
      <c r="B1091" s="38"/>
      <c r="C1091" s="38"/>
      <c r="D1091" s="38"/>
      <c r="E1091" s="38"/>
      <c r="F1091" s="38"/>
      <c r="G1091" s="38"/>
      <c r="H1091" s="38"/>
    </row>
    <row r="1092" spans="2:8" x14ac:dyDescent="0.35">
      <c r="B1092" s="38"/>
      <c r="C1092" s="38"/>
      <c r="D1092" s="38"/>
      <c r="E1092" s="38"/>
      <c r="F1092" s="38"/>
      <c r="G1092" s="38"/>
      <c r="H1092" s="38"/>
    </row>
    <row r="1093" spans="2:8" x14ac:dyDescent="0.35">
      <c r="B1093" s="38"/>
      <c r="C1093" s="38"/>
      <c r="D1093" s="38"/>
      <c r="E1093" s="38"/>
      <c r="F1093" s="38"/>
      <c r="G1093" s="38"/>
      <c r="H1093" s="38"/>
    </row>
    <row r="1094" spans="2:8" x14ac:dyDescent="0.35">
      <c r="B1094" s="38"/>
      <c r="C1094" s="38"/>
      <c r="D1094" s="38"/>
      <c r="E1094" s="38"/>
      <c r="F1094" s="38"/>
      <c r="G1094" s="38"/>
      <c r="H1094" s="38"/>
    </row>
    <row r="1095" spans="2:8" x14ac:dyDescent="0.35">
      <c r="B1095" s="38"/>
      <c r="C1095" s="38"/>
      <c r="D1095" s="38"/>
      <c r="E1095" s="38"/>
      <c r="F1095" s="38"/>
      <c r="G1095" s="38"/>
      <c r="H1095" s="38"/>
    </row>
    <row r="1096" spans="2:8" x14ac:dyDescent="0.35">
      <c r="B1096" s="38"/>
      <c r="C1096" s="38"/>
      <c r="D1096" s="38"/>
      <c r="E1096" s="38"/>
      <c r="F1096" s="38"/>
      <c r="G1096" s="38"/>
      <c r="H1096" s="38"/>
    </row>
    <row r="1097" spans="2:8" x14ac:dyDescent="0.35">
      <c r="B1097" s="38"/>
      <c r="C1097" s="38"/>
      <c r="D1097" s="38"/>
      <c r="E1097" s="38"/>
      <c r="F1097" s="38"/>
      <c r="G1097" s="38"/>
      <c r="H1097" s="38"/>
    </row>
    <row r="1098" spans="2:8" x14ac:dyDescent="0.35">
      <c r="B1098" s="38"/>
      <c r="C1098" s="38"/>
      <c r="D1098" s="38"/>
      <c r="E1098" s="38"/>
      <c r="F1098" s="38"/>
      <c r="G1098" s="38"/>
      <c r="H1098" s="38"/>
    </row>
    <row r="1099" spans="2:8" x14ac:dyDescent="0.35">
      <c r="B1099" s="38"/>
      <c r="C1099" s="38"/>
      <c r="D1099" s="38"/>
      <c r="E1099" s="38"/>
      <c r="F1099" s="38"/>
      <c r="G1099" s="38"/>
      <c r="H1099" s="38"/>
    </row>
    <row r="1100" spans="2:8" x14ac:dyDescent="0.35">
      <c r="B1100" s="38"/>
      <c r="C1100" s="38"/>
      <c r="D1100" s="38"/>
      <c r="E1100" s="38"/>
      <c r="F1100" s="38"/>
      <c r="G1100" s="38"/>
      <c r="H1100" s="38"/>
    </row>
    <row r="1101" spans="2:8" x14ac:dyDescent="0.35">
      <c r="B1101" s="38"/>
      <c r="C1101" s="38"/>
      <c r="D1101" s="38"/>
      <c r="E1101" s="38"/>
      <c r="F1101" s="38"/>
      <c r="G1101" s="38"/>
      <c r="H1101" s="38"/>
    </row>
    <row r="1102" spans="2:8" x14ac:dyDescent="0.35">
      <c r="B1102" s="38"/>
      <c r="C1102" s="38"/>
      <c r="D1102" s="38"/>
      <c r="E1102" s="38"/>
      <c r="F1102" s="38"/>
      <c r="G1102" s="38"/>
      <c r="H1102" s="38"/>
    </row>
    <row r="1103" spans="2:8" x14ac:dyDescent="0.35">
      <c r="B1103" s="38"/>
      <c r="C1103" s="38"/>
      <c r="D1103" s="38"/>
      <c r="E1103" s="38"/>
      <c r="F1103" s="38"/>
      <c r="G1103" s="38"/>
      <c r="H1103" s="38"/>
    </row>
    <row r="1104" spans="2:8" x14ac:dyDescent="0.35">
      <c r="B1104" s="38"/>
      <c r="C1104" s="38"/>
      <c r="D1104" s="38"/>
      <c r="E1104" s="38"/>
      <c r="F1104" s="38"/>
      <c r="G1104" s="38"/>
      <c r="H1104" s="38"/>
    </row>
    <row r="1105" spans="2:8" x14ac:dyDescent="0.35">
      <c r="B1105" s="38"/>
      <c r="C1105" s="38"/>
      <c r="D1105" s="38"/>
      <c r="E1105" s="38"/>
      <c r="F1105" s="38"/>
      <c r="G1105" s="38"/>
      <c r="H1105" s="38"/>
    </row>
    <row r="1106" spans="2:8" x14ac:dyDescent="0.35">
      <c r="B1106" s="38"/>
      <c r="C1106" s="38"/>
      <c r="D1106" s="38"/>
      <c r="E1106" s="38"/>
      <c r="F1106" s="38"/>
      <c r="G1106" s="38"/>
      <c r="H1106" s="38"/>
    </row>
    <row r="1107" spans="2:8" x14ac:dyDescent="0.35">
      <c r="B1107" s="38"/>
      <c r="C1107" s="38"/>
      <c r="D1107" s="38"/>
      <c r="E1107" s="38"/>
      <c r="F1107" s="38"/>
      <c r="G1107" s="38"/>
      <c r="H1107" s="38"/>
    </row>
    <row r="1108" spans="2:8" x14ac:dyDescent="0.35">
      <c r="B1108" s="38"/>
      <c r="C1108" s="38"/>
      <c r="D1108" s="38"/>
      <c r="E1108" s="38"/>
      <c r="F1108" s="38"/>
      <c r="G1108" s="38"/>
      <c r="H1108" s="38"/>
    </row>
    <row r="1109" spans="2:8" x14ac:dyDescent="0.35">
      <c r="B1109" s="38"/>
      <c r="C1109" s="38"/>
      <c r="D1109" s="38"/>
      <c r="E1109" s="38"/>
      <c r="F1109" s="38"/>
      <c r="G1109" s="38"/>
      <c r="H1109" s="38"/>
    </row>
    <row r="1110" spans="2:8" x14ac:dyDescent="0.35">
      <c r="B1110" s="38"/>
      <c r="C1110" s="38"/>
      <c r="D1110" s="38"/>
      <c r="E1110" s="38"/>
      <c r="F1110" s="38"/>
      <c r="G1110" s="38"/>
      <c r="H1110" s="38"/>
    </row>
    <row r="1111" spans="2:8" x14ac:dyDescent="0.35">
      <c r="B1111" s="38"/>
      <c r="C1111" s="38"/>
      <c r="D1111" s="38"/>
      <c r="E1111" s="38"/>
      <c r="F1111" s="38"/>
      <c r="G1111" s="38"/>
      <c r="H1111" s="38"/>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249"/>
  <sheetViews>
    <sheetView showGridLines="0" workbookViewId="0">
      <selection activeCell="H15" sqref="H15"/>
    </sheetView>
  </sheetViews>
  <sheetFormatPr baseColWidth="10" defaultColWidth="8.7265625" defaultRowHeight="14.5" x14ac:dyDescent="0.35"/>
  <cols>
    <col min="1" max="1" width="18.7265625" customWidth="1"/>
    <col min="2" max="2" width="20" customWidth="1"/>
    <col min="3" max="3" width="15.26953125" customWidth="1"/>
    <col min="4" max="4" width="12.26953125" hidden="1" customWidth="1"/>
    <col min="5" max="5" width="17.7265625" hidden="1" customWidth="1"/>
    <col min="6" max="6" width="12.7265625" hidden="1" customWidth="1"/>
    <col min="7" max="7" width="14.1796875" customWidth="1"/>
    <col min="8" max="8" width="25.453125" customWidth="1"/>
    <col min="9" max="9" width="13.26953125" customWidth="1"/>
    <col min="10" max="10" width="11.54296875" customWidth="1"/>
    <col min="11" max="11" width="41" customWidth="1"/>
    <col min="12" max="12" width="23.453125" customWidth="1"/>
    <col min="13" max="13" width="8.26953125" customWidth="1"/>
    <col min="15" max="15" width="25.54296875" hidden="1" customWidth="1"/>
    <col min="16" max="16" width="61.54296875" hidden="1" customWidth="1"/>
    <col min="17" max="17" width="14.26953125" hidden="1" customWidth="1"/>
    <col min="18" max="18" width="9.7265625" hidden="1" customWidth="1"/>
  </cols>
  <sheetData>
    <row r="1" spans="1:18" ht="18" customHeight="1" x14ac:dyDescent="0.35">
      <c r="A1" s="4" t="s">
        <v>0</v>
      </c>
      <c r="B1" s="4" t="s">
        <v>24</v>
      </c>
      <c r="C1" s="4" t="s">
        <v>1</v>
      </c>
      <c r="D1" s="4" t="s">
        <v>199</v>
      </c>
      <c r="E1" s="4" t="s">
        <v>28</v>
      </c>
      <c r="F1" s="4" t="s">
        <v>26</v>
      </c>
      <c r="G1" s="4" t="s">
        <v>2</v>
      </c>
      <c r="H1" s="4" t="s">
        <v>64</v>
      </c>
      <c r="I1" s="4" t="s">
        <v>159</v>
      </c>
      <c r="O1" t="s">
        <v>836</v>
      </c>
      <c r="P1" t="s">
        <v>837</v>
      </c>
      <c r="Q1" t="s">
        <v>339</v>
      </c>
      <c r="R1" t="s">
        <v>338</v>
      </c>
    </row>
    <row r="2" spans="1:18" x14ac:dyDescent="0.35">
      <c r="O2" t="s">
        <v>838</v>
      </c>
      <c r="P2" t="s">
        <v>839</v>
      </c>
      <c r="Q2" t="s">
        <v>341</v>
      </c>
      <c r="R2" t="s">
        <v>340</v>
      </c>
    </row>
    <row r="3" spans="1:18" x14ac:dyDescent="0.35">
      <c r="K3" s="15" t="s">
        <v>75</v>
      </c>
      <c r="O3" t="s">
        <v>65</v>
      </c>
      <c r="P3" t="s">
        <v>840</v>
      </c>
      <c r="Q3" t="s">
        <v>343</v>
      </c>
      <c r="R3" t="s">
        <v>342</v>
      </c>
    </row>
    <row r="4" spans="1:18" x14ac:dyDescent="0.35">
      <c r="K4" s="15" t="s">
        <v>234</v>
      </c>
      <c r="O4" t="s">
        <v>252</v>
      </c>
      <c r="P4" t="s">
        <v>841</v>
      </c>
      <c r="Q4" t="s">
        <v>345</v>
      </c>
      <c r="R4" t="s">
        <v>344</v>
      </c>
    </row>
    <row r="5" spans="1:18" x14ac:dyDescent="0.35">
      <c r="K5" s="15" t="s">
        <v>74</v>
      </c>
      <c r="O5" t="s">
        <v>253</v>
      </c>
      <c r="P5" t="s">
        <v>842</v>
      </c>
      <c r="Q5" t="s">
        <v>347</v>
      </c>
      <c r="R5" t="s">
        <v>346</v>
      </c>
    </row>
    <row r="6" spans="1:18" x14ac:dyDescent="0.35">
      <c r="K6" s="15" t="s">
        <v>76</v>
      </c>
      <c r="O6" t="s">
        <v>254</v>
      </c>
      <c r="P6" t="s">
        <v>843</v>
      </c>
      <c r="Q6" t="s">
        <v>349</v>
      </c>
      <c r="R6" t="s">
        <v>348</v>
      </c>
    </row>
    <row r="7" spans="1:18" x14ac:dyDescent="0.35">
      <c r="K7" s="15" t="s">
        <v>235</v>
      </c>
      <c r="O7" t="s">
        <v>255</v>
      </c>
      <c r="P7" t="s">
        <v>844</v>
      </c>
      <c r="Q7" t="s">
        <v>351</v>
      </c>
      <c r="R7" t="s">
        <v>350</v>
      </c>
    </row>
    <row r="8" spans="1:18" x14ac:dyDescent="0.35">
      <c r="K8" s="15" t="s">
        <v>236</v>
      </c>
      <c r="O8" t="s">
        <v>256</v>
      </c>
      <c r="P8" t="s">
        <v>845</v>
      </c>
      <c r="Q8" t="s">
        <v>353</v>
      </c>
      <c r="R8" t="s">
        <v>352</v>
      </c>
    </row>
    <row r="9" spans="1:18" x14ac:dyDescent="0.35">
      <c r="K9" s="15" t="s">
        <v>264</v>
      </c>
      <c r="O9" t="s">
        <v>4</v>
      </c>
      <c r="P9" t="s">
        <v>846</v>
      </c>
      <c r="Q9" t="s">
        <v>355</v>
      </c>
      <c r="R9" t="s">
        <v>354</v>
      </c>
    </row>
    <row r="10" spans="1:18" x14ac:dyDescent="0.35">
      <c r="K10" s="4" t="s">
        <v>7</v>
      </c>
      <c r="L10" s="13">
        <f>ROUNDUP(SUM(G:G)/1024,0)</f>
        <v>0</v>
      </c>
      <c r="O10" t="s">
        <v>257</v>
      </c>
      <c r="P10" t="s">
        <v>847</v>
      </c>
      <c r="Q10" t="s">
        <v>357</v>
      </c>
      <c r="R10" t="s">
        <v>356</v>
      </c>
    </row>
    <row r="11" spans="1:18" x14ac:dyDescent="0.35">
      <c r="K11" s="4" t="s">
        <v>18</v>
      </c>
      <c r="L11" s="13">
        <f>COUNTIF(A:A,"*")-1</f>
        <v>0</v>
      </c>
      <c r="O11" t="s">
        <v>258</v>
      </c>
      <c r="P11" t="s">
        <v>848</v>
      </c>
      <c r="Q11" t="s">
        <v>359</v>
      </c>
      <c r="R11" t="s">
        <v>358</v>
      </c>
    </row>
    <row r="12" spans="1:18" x14ac:dyDescent="0.35">
      <c r="K12" s="14" t="s">
        <v>906</v>
      </c>
      <c r="L12" s="13">
        <v>10</v>
      </c>
      <c r="O12" t="s">
        <v>951</v>
      </c>
      <c r="P12" t="s">
        <v>849</v>
      </c>
      <c r="Q12" t="s">
        <v>361</v>
      </c>
      <c r="R12" t="s">
        <v>360</v>
      </c>
    </row>
    <row r="13" spans="1:18" x14ac:dyDescent="0.35">
      <c r="K13" s="14" t="s">
        <v>905</v>
      </c>
      <c r="L13" s="37">
        <v>5</v>
      </c>
      <c r="O13" t="s">
        <v>259</v>
      </c>
      <c r="P13" t="s">
        <v>850</v>
      </c>
      <c r="Q13" t="s">
        <v>363</v>
      </c>
      <c r="R13" t="s">
        <v>362</v>
      </c>
    </row>
    <row r="14" spans="1:18" x14ac:dyDescent="0.35">
      <c r="K14" s="14" t="s">
        <v>25</v>
      </c>
      <c r="L14" t="s">
        <v>241</v>
      </c>
      <c r="O14" t="s">
        <v>260</v>
      </c>
      <c r="P14" t="s">
        <v>851</v>
      </c>
      <c r="Q14" t="s">
        <v>365</v>
      </c>
      <c r="R14" t="s">
        <v>364</v>
      </c>
    </row>
    <row r="15" spans="1:18" x14ac:dyDescent="0.35">
      <c r="K15" s="14" t="s">
        <v>27</v>
      </c>
      <c r="L15" t="s">
        <v>242</v>
      </c>
      <c r="O15" t="s">
        <v>261</v>
      </c>
      <c r="P15" t="s">
        <v>852</v>
      </c>
      <c r="Q15" t="s">
        <v>367</v>
      </c>
      <c r="R15" t="s">
        <v>366</v>
      </c>
    </row>
    <row r="16" spans="1:18" x14ac:dyDescent="0.35">
      <c r="K16" s="14" t="s">
        <v>64</v>
      </c>
      <c r="L16" t="s">
        <v>4</v>
      </c>
      <c r="O16" t="s">
        <v>262</v>
      </c>
      <c r="P16" t="s">
        <v>853</v>
      </c>
      <c r="Q16" t="s">
        <v>369</v>
      </c>
      <c r="R16" t="s">
        <v>368</v>
      </c>
    </row>
    <row r="17" spans="11:18" x14ac:dyDescent="0.35">
      <c r="K17" s="34" t="s">
        <v>160</v>
      </c>
      <c r="L17" t="str">
        <f>LEFT(L15,FIND(".",L15)-1)</f>
        <v>contoso</v>
      </c>
      <c r="O17" t="s">
        <v>263</v>
      </c>
      <c r="P17" t="s">
        <v>854</v>
      </c>
      <c r="Q17" t="s">
        <v>371</v>
      </c>
      <c r="R17" t="s">
        <v>370</v>
      </c>
    </row>
    <row r="18" spans="11:18" x14ac:dyDescent="0.35">
      <c r="K18" s="14" t="s">
        <v>152</v>
      </c>
      <c r="L18" s="17">
        <v>100</v>
      </c>
      <c r="O18" t="s">
        <v>855</v>
      </c>
      <c r="P18" t="s">
        <v>856</v>
      </c>
      <c r="Q18" t="s">
        <v>373</v>
      </c>
      <c r="R18" t="s">
        <v>372</v>
      </c>
    </row>
    <row r="19" spans="11:18" x14ac:dyDescent="0.35">
      <c r="K19" s="14" t="s">
        <v>834</v>
      </c>
      <c r="L19" s="17" t="s">
        <v>807</v>
      </c>
      <c r="O19" t="s">
        <v>857</v>
      </c>
      <c r="P19" t="s">
        <v>858</v>
      </c>
      <c r="Q19" t="s">
        <v>375</v>
      </c>
      <c r="R19" t="s">
        <v>374</v>
      </c>
    </row>
    <row r="20" spans="11:18" x14ac:dyDescent="0.35">
      <c r="K20" s="14" t="s">
        <v>159</v>
      </c>
      <c r="L20" t="str">
        <f>VLOOKUP(L19,Q1:R249,2,FALSE)</f>
        <v>US</v>
      </c>
      <c r="O20" t="s">
        <v>859</v>
      </c>
      <c r="P20" t="s">
        <v>860</v>
      </c>
      <c r="Q20" t="s">
        <v>377</v>
      </c>
      <c r="R20" t="s">
        <v>376</v>
      </c>
    </row>
    <row r="21" spans="11:18" x14ac:dyDescent="0.35">
      <c r="K21" s="30"/>
      <c r="O21" t="s">
        <v>251</v>
      </c>
      <c r="P21" t="s">
        <v>861</v>
      </c>
      <c r="Q21" t="s">
        <v>379</v>
      </c>
      <c r="R21" t="s">
        <v>378</v>
      </c>
    </row>
    <row r="22" spans="11:18" x14ac:dyDescent="0.35">
      <c r="K22" s="30"/>
      <c r="O22" t="s">
        <v>862</v>
      </c>
      <c r="P22" t="s">
        <v>863</v>
      </c>
      <c r="Q22" t="s">
        <v>381</v>
      </c>
      <c r="R22" t="s">
        <v>380</v>
      </c>
    </row>
    <row r="23" spans="11:18" x14ac:dyDescent="0.35">
      <c r="K23" s="4" t="s">
        <v>17</v>
      </c>
      <c r="L23" s="13">
        <f>ROUNDUP(((L10*1024)/(L12*L13*60))*1.05,0)</f>
        <v>0</v>
      </c>
      <c r="O23" t="s">
        <v>864</v>
      </c>
      <c r="P23" t="s">
        <v>865</v>
      </c>
      <c r="Q23" t="s">
        <v>383</v>
      </c>
      <c r="R23" t="s">
        <v>382</v>
      </c>
    </row>
    <row r="24" spans="11:18" x14ac:dyDescent="0.35">
      <c r="K24" s="14" t="s">
        <v>936</v>
      </c>
      <c r="L24" s="37">
        <v>0</v>
      </c>
      <c r="O24" t="s">
        <v>866</v>
      </c>
      <c r="P24" t="s">
        <v>867</v>
      </c>
      <c r="Q24" t="s">
        <v>385</v>
      </c>
      <c r="R24" t="s">
        <v>384</v>
      </c>
    </row>
    <row r="25" spans="11:18" x14ac:dyDescent="0.35">
      <c r="K25" s="40" t="str">
        <f>IF(L24&gt;0,"!!!!!IMPORTANT!!!!! THE LARGEITEMLIMIT PARAMETER WILL RESULT IN ITEMS LARGER THAN THE THRESHOLD BEING SKIPPED,","")</f>
        <v/>
      </c>
      <c r="O25" t="s">
        <v>835</v>
      </c>
      <c r="P25" t="s">
        <v>868</v>
      </c>
      <c r="Q25" t="s">
        <v>387</v>
      </c>
      <c r="R25" t="s">
        <v>386</v>
      </c>
    </row>
    <row r="26" spans="11:18" x14ac:dyDescent="0.35">
      <c r="K26" s="40" t="str">
        <f>IF(L24&gt;0,"DATA LOSS WILL OCCUR IF THE ITEMS SKIPPED ARE NOT BACKED UP FIRST","")</f>
        <v/>
      </c>
      <c r="O26" t="s">
        <v>250</v>
      </c>
      <c r="P26" t="s">
        <v>869</v>
      </c>
      <c r="Q26" t="s">
        <v>389</v>
      </c>
      <c r="R26" t="s">
        <v>388</v>
      </c>
    </row>
    <row r="27" spans="11:18" x14ac:dyDescent="0.35">
      <c r="Q27" t="s">
        <v>391</v>
      </c>
      <c r="R27" t="s">
        <v>390</v>
      </c>
    </row>
    <row r="28" spans="11:18" x14ac:dyDescent="0.35">
      <c r="Q28" t="s">
        <v>393</v>
      </c>
      <c r="R28" t="s">
        <v>392</v>
      </c>
    </row>
    <row r="29" spans="11:18" x14ac:dyDescent="0.35">
      <c r="Q29" t="s">
        <v>395</v>
      </c>
      <c r="R29" t="s">
        <v>394</v>
      </c>
    </row>
    <row r="30" spans="11:18" x14ac:dyDescent="0.35">
      <c r="Q30" t="s">
        <v>397</v>
      </c>
      <c r="R30" t="s">
        <v>396</v>
      </c>
    </row>
    <row r="31" spans="11:18" x14ac:dyDescent="0.35">
      <c r="Q31" t="s">
        <v>399</v>
      </c>
      <c r="R31" t="s">
        <v>398</v>
      </c>
    </row>
    <row r="32" spans="11:18" x14ac:dyDescent="0.35">
      <c r="Q32" t="s">
        <v>401</v>
      </c>
      <c r="R32" t="s">
        <v>400</v>
      </c>
    </row>
    <row r="33" spans="17:18" x14ac:dyDescent="0.35">
      <c r="Q33" t="s">
        <v>403</v>
      </c>
      <c r="R33" t="s">
        <v>402</v>
      </c>
    </row>
    <row r="34" spans="17:18" x14ac:dyDescent="0.35">
      <c r="Q34" t="s">
        <v>405</v>
      </c>
      <c r="R34" t="s">
        <v>404</v>
      </c>
    </row>
    <row r="35" spans="17:18" x14ac:dyDescent="0.35">
      <c r="Q35" t="s">
        <v>407</v>
      </c>
      <c r="R35" t="s">
        <v>406</v>
      </c>
    </row>
    <row r="36" spans="17:18" x14ac:dyDescent="0.35">
      <c r="Q36" t="s">
        <v>409</v>
      </c>
      <c r="R36" t="s">
        <v>408</v>
      </c>
    </row>
    <row r="37" spans="17:18" x14ac:dyDescent="0.35">
      <c r="Q37" t="s">
        <v>411</v>
      </c>
      <c r="R37" t="s">
        <v>410</v>
      </c>
    </row>
    <row r="38" spans="17:18" x14ac:dyDescent="0.35">
      <c r="Q38" t="s">
        <v>413</v>
      </c>
      <c r="R38" t="s">
        <v>412</v>
      </c>
    </row>
    <row r="39" spans="17:18" x14ac:dyDescent="0.35">
      <c r="Q39" t="s">
        <v>415</v>
      </c>
      <c r="R39" t="s">
        <v>414</v>
      </c>
    </row>
    <row r="40" spans="17:18" x14ac:dyDescent="0.35">
      <c r="Q40" t="s">
        <v>417</v>
      </c>
      <c r="R40" t="s">
        <v>416</v>
      </c>
    </row>
    <row r="41" spans="17:18" x14ac:dyDescent="0.35">
      <c r="Q41" t="s">
        <v>419</v>
      </c>
      <c r="R41" t="s">
        <v>418</v>
      </c>
    </row>
    <row r="42" spans="17:18" x14ac:dyDescent="0.35">
      <c r="Q42" t="s">
        <v>421</v>
      </c>
      <c r="R42" t="s">
        <v>420</v>
      </c>
    </row>
    <row r="43" spans="17:18" x14ac:dyDescent="0.35">
      <c r="Q43" t="s">
        <v>423</v>
      </c>
      <c r="R43" t="s">
        <v>422</v>
      </c>
    </row>
    <row r="44" spans="17:18" x14ac:dyDescent="0.35">
      <c r="Q44" t="s">
        <v>425</v>
      </c>
      <c r="R44" t="s">
        <v>424</v>
      </c>
    </row>
    <row r="45" spans="17:18" x14ac:dyDescent="0.35">
      <c r="Q45" t="s">
        <v>427</v>
      </c>
      <c r="R45" t="s">
        <v>426</v>
      </c>
    </row>
    <row r="46" spans="17:18" x14ac:dyDescent="0.35">
      <c r="Q46" t="s">
        <v>429</v>
      </c>
      <c r="R46" t="s">
        <v>428</v>
      </c>
    </row>
    <row r="47" spans="17:18" x14ac:dyDescent="0.35">
      <c r="Q47" t="s">
        <v>431</v>
      </c>
      <c r="R47" t="s">
        <v>430</v>
      </c>
    </row>
    <row r="48" spans="17:18" x14ac:dyDescent="0.35">
      <c r="Q48" t="s">
        <v>433</v>
      </c>
      <c r="R48" t="s">
        <v>432</v>
      </c>
    </row>
    <row r="49" spans="17:18" x14ac:dyDescent="0.35">
      <c r="Q49" t="s">
        <v>435</v>
      </c>
      <c r="R49" t="s">
        <v>434</v>
      </c>
    </row>
    <row r="50" spans="17:18" x14ac:dyDescent="0.35">
      <c r="Q50" t="s">
        <v>437</v>
      </c>
      <c r="R50" t="s">
        <v>436</v>
      </c>
    </row>
    <row r="51" spans="17:18" x14ac:dyDescent="0.35">
      <c r="Q51" t="s">
        <v>439</v>
      </c>
      <c r="R51" t="s">
        <v>438</v>
      </c>
    </row>
    <row r="52" spans="17:18" x14ac:dyDescent="0.35">
      <c r="Q52" t="s">
        <v>441</v>
      </c>
      <c r="R52" t="s">
        <v>440</v>
      </c>
    </row>
    <row r="53" spans="17:18" x14ac:dyDescent="0.35">
      <c r="Q53" t="s">
        <v>443</v>
      </c>
      <c r="R53" t="s">
        <v>442</v>
      </c>
    </row>
    <row r="54" spans="17:18" x14ac:dyDescent="0.35">
      <c r="Q54" t="s">
        <v>445</v>
      </c>
      <c r="R54" t="s">
        <v>444</v>
      </c>
    </row>
    <row r="55" spans="17:18" x14ac:dyDescent="0.35">
      <c r="Q55" t="s">
        <v>447</v>
      </c>
      <c r="R55" t="s">
        <v>446</v>
      </c>
    </row>
    <row r="56" spans="17:18" x14ac:dyDescent="0.35">
      <c r="Q56" t="s">
        <v>449</v>
      </c>
      <c r="R56" t="s">
        <v>448</v>
      </c>
    </row>
    <row r="57" spans="17:18" x14ac:dyDescent="0.35">
      <c r="Q57" t="s">
        <v>451</v>
      </c>
      <c r="R57" t="s">
        <v>450</v>
      </c>
    </row>
    <row r="58" spans="17:18" x14ac:dyDescent="0.35">
      <c r="Q58" t="s">
        <v>453</v>
      </c>
      <c r="R58" t="s">
        <v>452</v>
      </c>
    </row>
    <row r="59" spans="17:18" x14ac:dyDescent="0.35">
      <c r="Q59" t="s">
        <v>455</v>
      </c>
      <c r="R59" t="s">
        <v>454</v>
      </c>
    </row>
    <row r="60" spans="17:18" x14ac:dyDescent="0.35">
      <c r="Q60" t="s">
        <v>457</v>
      </c>
      <c r="R60" t="s">
        <v>456</v>
      </c>
    </row>
    <row r="61" spans="17:18" x14ac:dyDescent="0.35">
      <c r="Q61" t="s">
        <v>459</v>
      </c>
      <c r="R61" t="s">
        <v>458</v>
      </c>
    </row>
    <row r="62" spans="17:18" x14ac:dyDescent="0.35">
      <c r="Q62" t="s">
        <v>461</v>
      </c>
      <c r="R62" t="s">
        <v>460</v>
      </c>
    </row>
    <row r="63" spans="17:18" x14ac:dyDescent="0.35">
      <c r="Q63" t="s">
        <v>463</v>
      </c>
      <c r="R63" t="s">
        <v>462</v>
      </c>
    </row>
    <row r="64" spans="17:18" x14ac:dyDescent="0.35">
      <c r="Q64" t="s">
        <v>465</v>
      </c>
      <c r="R64" t="s">
        <v>464</v>
      </c>
    </row>
    <row r="65" spans="17:18" x14ac:dyDescent="0.35">
      <c r="Q65" t="s">
        <v>467</v>
      </c>
      <c r="R65" t="s">
        <v>466</v>
      </c>
    </row>
    <row r="66" spans="17:18" x14ac:dyDescent="0.35">
      <c r="Q66" t="s">
        <v>469</v>
      </c>
      <c r="R66" t="s">
        <v>468</v>
      </c>
    </row>
    <row r="67" spans="17:18" x14ac:dyDescent="0.35">
      <c r="Q67" t="s">
        <v>471</v>
      </c>
      <c r="R67" t="s">
        <v>470</v>
      </c>
    </row>
    <row r="68" spans="17:18" x14ac:dyDescent="0.35">
      <c r="Q68" t="s">
        <v>473</v>
      </c>
      <c r="R68" t="s">
        <v>472</v>
      </c>
    </row>
    <row r="69" spans="17:18" x14ac:dyDescent="0.35">
      <c r="Q69" t="s">
        <v>475</v>
      </c>
      <c r="R69" t="s">
        <v>474</v>
      </c>
    </row>
    <row r="70" spans="17:18" x14ac:dyDescent="0.35">
      <c r="Q70" t="s">
        <v>477</v>
      </c>
      <c r="R70" t="s">
        <v>476</v>
      </c>
    </row>
    <row r="71" spans="17:18" x14ac:dyDescent="0.35">
      <c r="Q71" t="s">
        <v>479</v>
      </c>
      <c r="R71" t="s">
        <v>478</v>
      </c>
    </row>
    <row r="72" spans="17:18" x14ac:dyDescent="0.35">
      <c r="Q72" t="s">
        <v>481</v>
      </c>
      <c r="R72" t="s">
        <v>480</v>
      </c>
    </row>
    <row r="73" spans="17:18" x14ac:dyDescent="0.35">
      <c r="Q73" t="s">
        <v>483</v>
      </c>
      <c r="R73" t="s">
        <v>482</v>
      </c>
    </row>
    <row r="74" spans="17:18" x14ac:dyDescent="0.35">
      <c r="Q74" t="s">
        <v>485</v>
      </c>
      <c r="R74" t="s">
        <v>484</v>
      </c>
    </row>
    <row r="75" spans="17:18" x14ac:dyDescent="0.35">
      <c r="Q75" t="s">
        <v>487</v>
      </c>
      <c r="R75" t="s">
        <v>486</v>
      </c>
    </row>
    <row r="76" spans="17:18" x14ac:dyDescent="0.35">
      <c r="Q76" t="s">
        <v>489</v>
      </c>
      <c r="R76" t="s">
        <v>488</v>
      </c>
    </row>
    <row r="77" spans="17:18" x14ac:dyDescent="0.35">
      <c r="Q77" t="s">
        <v>491</v>
      </c>
      <c r="R77" t="s">
        <v>490</v>
      </c>
    </row>
    <row r="78" spans="17:18" x14ac:dyDescent="0.35">
      <c r="Q78" t="s">
        <v>493</v>
      </c>
      <c r="R78" t="s">
        <v>492</v>
      </c>
    </row>
    <row r="79" spans="17:18" x14ac:dyDescent="0.35">
      <c r="Q79" t="s">
        <v>495</v>
      </c>
      <c r="R79" t="s">
        <v>494</v>
      </c>
    </row>
    <row r="80" spans="17:18" x14ac:dyDescent="0.35">
      <c r="Q80" t="s">
        <v>497</v>
      </c>
      <c r="R80" t="s">
        <v>496</v>
      </c>
    </row>
    <row r="81" spans="17:18" x14ac:dyDescent="0.35">
      <c r="Q81" t="s">
        <v>499</v>
      </c>
      <c r="R81" t="s">
        <v>498</v>
      </c>
    </row>
    <row r="82" spans="17:18" x14ac:dyDescent="0.35">
      <c r="Q82" t="s">
        <v>501</v>
      </c>
      <c r="R82" t="s">
        <v>500</v>
      </c>
    </row>
    <row r="83" spans="17:18" x14ac:dyDescent="0.35">
      <c r="Q83" t="s">
        <v>503</v>
      </c>
      <c r="R83" t="s">
        <v>502</v>
      </c>
    </row>
    <row r="84" spans="17:18" x14ac:dyDescent="0.35">
      <c r="Q84" t="s">
        <v>505</v>
      </c>
      <c r="R84" t="s">
        <v>504</v>
      </c>
    </row>
    <row r="85" spans="17:18" x14ac:dyDescent="0.35">
      <c r="Q85" t="s">
        <v>507</v>
      </c>
      <c r="R85" t="s">
        <v>506</v>
      </c>
    </row>
    <row r="86" spans="17:18" x14ac:dyDescent="0.35">
      <c r="Q86" t="s">
        <v>509</v>
      </c>
      <c r="R86" t="s">
        <v>508</v>
      </c>
    </row>
    <row r="87" spans="17:18" x14ac:dyDescent="0.35">
      <c r="Q87" t="s">
        <v>511</v>
      </c>
      <c r="R87" t="s">
        <v>510</v>
      </c>
    </row>
    <row r="88" spans="17:18" x14ac:dyDescent="0.35">
      <c r="Q88" t="s">
        <v>513</v>
      </c>
      <c r="R88" t="s">
        <v>512</v>
      </c>
    </row>
    <row r="89" spans="17:18" x14ac:dyDescent="0.35">
      <c r="Q89" t="s">
        <v>515</v>
      </c>
      <c r="R89" t="s">
        <v>514</v>
      </c>
    </row>
    <row r="90" spans="17:18" x14ac:dyDescent="0.35">
      <c r="Q90" t="s">
        <v>517</v>
      </c>
      <c r="R90" t="s">
        <v>516</v>
      </c>
    </row>
    <row r="91" spans="17:18" x14ac:dyDescent="0.35">
      <c r="Q91" t="s">
        <v>519</v>
      </c>
      <c r="R91" t="s">
        <v>518</v>
      </c>
    </row>
    <row r="92" spans="17:18" x14ac:dyDescent="0.35">
      <c r="Q92" t="s">
        <v>521</v>
      </c>
      <c r="R92" t="s">
        <v>520</v>
      </c>
    </row>
    <row r="93" spans="17:18" x14ac:dyDescent="0.35">
      <c r="Q93" t="s">
        <v>523</v>
      </c>
      <c r="R93" t="s">
        <v>522</v>
      </c>
    </row>
    <row r="94" spans="17:18" x14ac:dyDescent="0.35">
      <c r="Q94" t="s">
        <v>525</v>
      </c>
      <c r="R94" t="s">
        <v>524</v>
      </c>
    </row>
    <row r="95" spans="17:18" x14ac:dyDescent="0.35">
      <c r="Q95" t="s">
        <v>527</v>
      </c>
      <c r="R95" t="s">
        <v>526</v>
      </c>
    </row>
    <row r="96" spans="17:18" x14ac:dyDescent="0.35">
      <c r="Q96" t="s">
        <v>529</v>
      </c>
      <c r="R96" t="s">
        <v>528</v>
      </c>
    </row>
    <row r="97" spans="17:18" x14ac:dyDescent="0.35">
      <c r="Q97" t="s">
        <v>531</v>
      </c>
      <c r="R97" t="s">
        <v>530</v>
      </c>
    </row>
    <row r="98" spans="17:18" x14ac:dyDescent="0.35">
      <c r="Q98" t="s">
        <v>533</v>
      </c>
      <c r="R98" t="s">
        <v>532</v>
      </c>
    </row>
    <row r="99" spans="17:18" x14ac:dyDescent="0.35">
      <c r="Q99" t="s">
        <v>535</v>
      </c>
      <c r="R99" t="s">
        <v>534</v>
      </c>
    </row>
    <row r="100" spans="17:18" x14ac:dyDescent="0.35">
      <c r="Q100" t="s">
        <v>537</v>
      </c>
      <c r="R100" t="s">
        <v>536</v>
      </c>
    </row>
    <row r="101" spans="17:18" x14ac:dyDescent="0.35">
      <c r="Q101" t="s">
        <v>539</v>
      </c>
      <c r="R101" t="s">
        <v>538</v>
      </c>
    </row>
    <row r="102" spans="17:18" x14ac:dyDescent="0.35">
      <c r="Q102" t="s">
        <v>541</v>
      </c>
      <c r="R102" t="s">
        <v>540</v>
      </c>
    </row>
    <row r="103" spans="17:18" x14ac:dyDescent="0.35">
      <c r="Q103" t="s">
        <v>543</v>
      </c>
      <c r="R103" t="s">
        <v>542</v>
      </c>
    </row>
    <row r="104" spans="17:18" x14ac:dyDescent="0.35">
      <c r="Q104" t="s">
        <v>545</v>
      </c>
      <c r="R104" t="s">
        <v>544</v>
      </c>
    </row>
    <row r="105" spans="17:18" x14ac:dyDescent="0.35">
      <c r="Q105" t="s">
        <v>547</v>
      </c>
      <c r="R105" t="s">
        <v>546</v>
      </c>
    </row>
    <row r="106" spans="17:18" x14ac:dyDescent="0.35">
      <c r="Q106" t="s">
        <v>549</v>
      </c>
      <c r="R106" t="s">
        <v>548</v>
      </c>
    </row>
    <row r="107" spans="17:18" x14ac:dyDescent="0.35">
      <c r="Q107" t="s">
        <v>551</v>
      </c>
      <c r="R107" t="s">
        <v>550</v>
      </c>
    </row>
    <row r="108" spans="17:18" x14ac:dyDescent="0.35">
      <c r="Q108" t="s">
        <v>553</v>
      </c>
      <c r="R108" t="s">
        <v>552</v>
      </c>
    </row>
    <row r="109" spans="17:18" x14ac:dyDescent="0.35">
      <c r="Q109" t="s">
        <v>555</v>
      </c>
      <c r="R109" t="s">
        <v>554</v>
      </c>
    </row>
    <row r="110" spans="17:18" x14ac:dyDescent="0.35">
      <c r="Q110" t="s">
        <v>557</v>
      </c>
      <c r="R110" t="s">
        <v>556</v>
      </c>
    </row>
    <row r="111" spans="17:18" x14ac:dyDescent="0.35">
      <c r="Q111" t="s">
        <v>559</v>
      </c>
      <c r="R111" t="s">
        <v>558</v>
      </c>
    </row>
    <row r="112" spans="17:18" x14ac:dyDescent="0.35">
      <c r="Q112" t="s">
        <v>561</v>
      </c>
      <c r="R112" t="s">
        <v>560</v>
      </c>
    </row>
    <row r="113" spans="17:18" x14ac:dyDescent="0.35">
      <c r="Q113" t="s">
        <v>563</v>
      </c>
      <c r="R113" t="s">
        <v>562</v>
      </c>
    </row>
    <row r="114" spans="17:18" x14ac:dyDescent="0.35">
      <c r="Q114" t="s">
        <v>565</v>
      </c>
      <c r="R114" t="s">
        <v>564</v>
      </c>
    </row>
    <row r="115" spans="17:18" x14ac:dyDescent="0.35">
      <c r="Q115" t="s">
        <v>567</v>
      </c>
      <c r="R115" t="s">
        <v>566</v>
      </c>
    </row>
    <row r="116" spans="17:18" x14ac:dyDescent="0.35">
      <c r="Q116" t="s">
        <v>569</v>
      </c>
      <c r="R116" t="s">
        <v>568</v>
      </c>
    </row>
    <row r="117" spans="17:18" x14ac:dyDescent="0.35">
      <c r="Q117" t="s">
        <v>571</v>
      </c>
      <c r="R117" t="s">
        <v>570</v>
      </c>
    </row>
    <row r="118" spans="17:18" x14ac:dyDescent="0.35">
      <c r="Q118" t="s">
        <v>573</v>
      </c>
      <c r="R118" t="s">
        <v>572</v>
      </c>
    </row>
    <row r="119" spans="17:18" x14ac:dyDescent="0.35">
      <c r="Q119" t="s">
        <v>575</v>
      </c>
      <c r="R119" t="s">
        <v>574</v>
      </c>
    </row>
    <row r="120" spans="17:18" x14ac:dyDescent="0.35">
      <c r="Q120" t="s">
        <v>577</v>
      </c>
      <c r="R120" t="s">
        <v>576</v>
      </c>
    </row>
    <row r="121" spans="17:18" x14ac:dyDescent="0.35">
      <c r="Q121" t="s">
        <v>579</v>
      </c>
      <c r="R121" t="s">
        <v>578</v>
      </c>
    </row>
    <row r="122" spans="17:18" x14ac:dyDescent="0.35">
      <c r="Q122" t="s">
        <v>581</v>
      </c>
      <c r="R122" t="s">
        <v>580</v>
      </c>
    </row>
    <row r="123" spans="17:18" x14ac:dyDescent="0.35">
      <c r="Q123" t="s">
        <v>583</v>
      </c>
      <c r="R123" t="s">
        <v>582</v>
      </c>
    </row>
    <row r="124" spans="17:18" x14ac:dyDescent="0.35">
      <c r="Q124" t="s">
        <v>585</v>
      </c>
      <c r="R124" t="s">
        <v>584</v>
      </c>
    </row>
    <row r="125" spans="17:18" x14ac:dyDescent="0.35">
      <c r="Q125" t="s">
        <v>587</v>
      </c>
      <c r="R125" t="s">
        <v>586</v>
      </c>
    </row>
    <row r="126" spans="17:18" x14ac:dyDescent="0.35">
      <c r="Q126" t="s">
        <v>589</v>
      </c>
      <c r="R126" t="s">
        <v>588</v>
      </c>
    </row>
    <row r="127" spans="17:18" x14ac:dyDescent="0.35">
      <c r="Q127" t="s">
        <v>591</v>
      </c>
      <c r="R127" t="s">
        <v>590</v>
      </c>
    </row>
    <row r="128" spans="17:18" x14ac:dyDescent="0.35">
      <c r="Q128" t="s">
        <v>593</v>
      </c>
      <c r="R128" t="s">
        <v>592</v>
      </c>
    </row>
    <row r="129" spans="17:18" x14ac:dyDescent="0.35">
      <c r="Q129" t="s">
        <v>595</v>
      </c>
      <c r="R129" t="s">
        <v>594</v>
      </c>
    </row>
    <row r="130" spans="17:18" x14ac:dyDescent="0.35">
      <c r="Q130" t="s">
        <v>597</v>
      </c>
      <c r="R130" t="s">
        <v>596</v>
      </c>
    </row>
    <row r="131" spans="17:18" x14ac:dyDescent="0.35">
      <c r="Q131" t="s">
        <v>599</v>
      </c>
      <c r="R131" t="s">
        <v>598</v>
      </c>
    </row>
    <row r="132" spans="17:18" x14ac:dyDescent="0.35">
      <c r="Q132" t="s">
        <v>601</v>
      </c>
      <c r="R132" t="s">
        <v>600</v>
      </c>
    </row>
    <row r="133" spans="17:18" x14ac:dyDescent="0.35">
      <c r="Q133" t="s">
        <v>603</v>
      </c>
      <c r="R133" t="s">
        <v>602</v>
      </c>
    </row>
    <row r="134" spans="17:18" x14ac:dyDescent="0.35">
      <c r="Q134" t="s">
        <v>605</v>
      </c>
      <c r="R134" t="s">
        <v>604</v>
      </c>
    </row>
    <row r="135" spans="17:18" x14ac:dyDescent="0.35">
      <c r="Q135" t="s">
        <v>607</v>
      </c>
      <c r="R135" t="s">
        <v>606</v>
      </c>
    </row>
    <row r="136" spans="17:18" x14ac:dyDescent="0.35">
      <c r="Q136" t="s">
        <v>609</v>
      </c>
      <c r="R136" t="s">
        <v>608</v>
      </c>
    </row>
    <row r="137" spans="17:18" x14ac:dyDescent="0.35">
      <c r="Q137" t="s">
        <v>611</v>
      </c>
      <c r="R137" t="s">
        <v>610</v>
      </c>
    </row>
    <row r="138" spans="17:18" x14ac:dyDescent="0.35">
      <c r="Q138" t="s">
        <v>613</v>
      </c>
      <c r="R138" t="s">
        <v>612</v>
      </c>
    </row>
    <row r="139" spans="17:18" x14ac:dyDescent="0.35">
      <c r="Q139" t="s">
        <v>615</v>
      </c>
      <c r="R139" t="s">
        <v>614</v>
      </c>
    </row>
    <row r="140" spans="17:18" x14ac:dyDescent="0.35">
      <c r="Q140" t="s">
        <v>617</v>
      </c>
      <c r="R140" t="s">
        <v>616</v>
      </c>
    </row>
    <row r="141" spans="17:18" x14ac:dyDescent="0.35">
      <c r="Q141" t="s">
        <v>619</v>
      </c>
      <c r="R141" t="s">
        <v>618</v>
      </c>
    </row>
    <row r="142" spans="17:18" x14ac:dyDescent="0.35">
      <c r="Q142" t="s">
        <v>621</v>
      </c>
      <c r="R142" t="s">
        <v>620</v>
      </c>
    </row>
    <row r="143" spans="17:18" x14ac:dyDescent="0.35">
      <c r="Q143" t="s">
        <v>623</v>
      </c>
      <c r="R143" t="s">
        <v>622</v>
      </c>
    </row>
    <row r="144" spans="17:18" x14ac:dyDescent="0.35">
      <c r="Q144" t="s">
        <v>625</v>
      </c>
      <c r="R144" t="s">
        <v>624</v>
      </c>
    </row>
    <row r="145" spans="17:18" x14ac:dyDescent="0.35">
      <c r="Q145" t="s">
        <v>627</v>
      </c>
      <c r="R145" t="s">
        <v>626</v>
      </c>
    </row>
    <row r="146" spans="17:18" x14ac:dyDescent="0.35">
      <c r="Q146" t="s">
        <v>629</v>
      </c>
      <c r="R146" t="s">
        <v>628</v>
      </c>
    </row>
    <row r="147" spans="17:18" x14ac:dyDescent="0.35">
      <c r="Q147" t="s">
        <v>631</v>
      </c>
      <c r="R147" t="s">
        <v>630</v>
      </c>
    </row>
    <row r="148" spans="17:18" x14ac:dyDescent="0.35">
      <c r="Q148" t="s">
        <v>633</v>
      </c>
      <c r="R148" t="s">
        <v>632</v>
      </c>
    </row>
    <row r="149" spans="17:18" x14ac:dyDescent="0.35">
      <c r="Q149" t="s">
        <v>635</v>
      </c>
      <c r="R149" t="s">
        <v>634</v>
      </c>
    </row>
    <row r="150" spans="17:18" x14ac:dyDescent="0.35">
      <c r="Q150" t="s">
        <v>637</v>
      </c>
      <c r="R150" t="s">
        <v>636</v>
      </c>
    </row>
    <row r="151" spans="17:18" x14ac:dyDescent="0.35">
      <c r="Q151" t="s">
        <v>639</v>
      </c>
      <c r="R151" t="s">
        <v>638</v>
      </c>
    </row>
    <row r="152" spans="17:18" x14ac:dyDescent="0.35">
      <c r="Q152" t="s">
        <v>641</v>
      </c>
      <c r="R152" t="s">
        <v>640</v>
      </c>
    </row>
    <row r="153" spans="17:18" x14ac:dyDescent="0.35">
      <c r="Q153" t="s">
        <v>643</v>
      </c>
      <c r="R153" t="s">
        <v>642</v>
      </c>
    </row>
    <row r="154" spans="17:18" x14ac:dyDescent="0.35">
      <c r="Q154" t="s">
        <v>645</v>
      </c>
      <c r="R154" t="s">
        <v>644</v>
      </c>
    </row>
    <row r="155" spans="17:18" x14ac:dyDescent="0.35">
      <c r="Q155" t="s">
        <v>647</v>
      </c>
      <c r="R155" t="s">
        <v>646</v>
      </c>
    </row>
    <row r="156" spans="17:18" x14ac:dyDescent="0.35">
      <c r="Q156" t="s">
        <v>649</v>
      </c>
      <c r="R156" t="s">
        <v>648</v>
      </c>
    </row>
    <row r="157" spans="17:18" x14ac:dyDescent="0.35">
      <c r="Q157" t="s">
        <v>651</v>
      </c>
      <c r="R157" t="s">
        <v>650</v>
      </c>
    </row>
    <row r="158" spans="17:18" x14ac:dyDescent="0.35">
      <c r="Q158" t="s">
        <v>653</v>
      </c>
      <c r="R158" t="s">
        <v>652</v>
      </c>
    </row>
    <row r="159" spans="17:18" x14ac:dyDescent="0.35">
      <c r="Q159" t="s">
        <v>655</v>
      </c>
      <c r="R159" t="s">
        <v>654</v>
      </c>
    </row>
    <row r="160" spans="17:18" x14ac:dyDescent="0.35">
      <c r="Q160" t="s">
        <v>657</v>
      </c>
      <c r="R160" t="s">
        <v>656</v>
      </c>
    </row>
    <row r="161" spans="17:18" x14ac:dyDescent="0.35">
      <c r="Q161" t="s">
        <v>659</v>
      </c>
      <c r="R161" t="s">
        <v>658</v>
      </c>
    </row>
    <row r="162" spans="17:18" x14ac:dyDescent="0.35">
      <c r="Q162" t="s">
        <v>661</v>
      </c>
      <c r="R162" t="s">
        <v>660</v>
      </c>
    </row>
    <row r="163" spans="17:18" x14ac:dyDescent="0.35">
      <c r="Q163" t="s">
        <v>663</v>
      </c>
      <c r="R163" t="s">
        <v>662</v>
      </c>
    </row>
    <row r="164" spans="17:18" x14ac:dyDescent="0.35">
      <c r="Q164" t="s">
        <v>665</v>
      </c>
      <c r="R164" t="s">
        <v>664</v>
      </c>
    </row>
    <row r="165" spans="17:18" x14ac:dyDescent="0.35">
      <c r="Q165" t="s">
        <v>667</v>
      </c>
      <c r="R165" t="s">
        <v>666</v>
      </c>
    </row>
    <row r="166" spans="17:18" x14ac:dyDescent="0.35">
      <c r="Q166" t="s">
        <v>669</v>
      </c>
      <c r="R166" t="s">
        <v>668</v>
      </c>
    </row>
    <row r="167" spans="17:18" x14ac:dyDescent="0.35">
      <c r="Q167" t="s">
        <v>671</v>
      </c>
      <c r="R167" t="s">
        <v>670</v>
      </c>
    </row>
    <row r="168" spans="17:18" x14ac:dyDescent="0.35">
      <c r="Q168" t="s">
        <v>673</v>
      </c>
      <c r="R168" t="s">
        <v>672</v>
      </c>
    </row>
    <row r="169" spans="17:18" x14ac:dyDescent="0.35">
      <c r="Q169" t="s">
        <v>675</v>
      </c>
      <c r="R169" t="s">
        <v>674</v>
      </c>
    </row>
    <row r="170" spans="17:18" x14ac:dyDescent="0.35">
      <c r="Q170" t="s">
        <v>677</v>
      </c>
      <c r="R170" t="s">
        <v>676</v>
      </c>
    </row>
    <row r="171" spans="17:18" x14ac:dyDescent="0.35">
      <c r="Q171" t="s">
        <v>679</v>
      </c>
      <c r="R171" t="s">
        <v>678</v>
      </c>
    </row>
    <row r="172" spans="17:18" x14ac:dyDescent="0.35">
      <c r="Q172" t="s">
        <v>681</v>
      </c>
      <c r="R172" t="s">
        <v>680</v>
      </c>
    </row>
    <row r="173" spans="17:18" x14ac:dyDescent="0.35">
      <c r="Q173" t="s">
        <v>683</v>
      </c>
      <c r="R173" t="s">
        <v>682</v>
      </c>
    </row>
    <row r="174" spans="17:18" x14ac:dyDescent="0.35">
      <c r="Q174" t="s">
        <v>685</v>
      </c>
      <c r="R174" t="s">
        <v>684</v>
      </c>
    </row>
    <row r="175" spans="17:18" x14ac:dyDescent="0.35">
      <c r="Q175" t="s">
        <v>687</v>
      </c>
      <c r="R175" t="s">
        <v>686</v>
      </c>
    </row>
    <row r="176" spans="17:18" x14ac:dyDescent="0.35">
      <c r="Q176" t="s">
        <v>689</v>
      </c>
      <c r="R176" t="s">
        <v>688</v>
      </c>
    </row>
    <row r="177" spans="17:18" x14ac:dyDescent="0.35">
      <c r="Q177" t="s">
        <v>691</v>
      </c>
      <c r="R177" t="s">
        <v>690</v>
      </c>
    </row>
    <row r="178" spans="17:18" x14ac:dyDescent="0.35">
      <c r="Q178" t="s">
        <v>693</v>
      </c>
      <c r="R178" t="s">
        <v>692</v>
      </c>
    </row>
    <row r="179" spans="17:18" x14ac:dyDescent="0.35">
      <c r="Q179" t="s">
        <v>695</v>
      </c>
      <c r="R179" t="s">
        <v>694</v>
      </c>
    </row>
    <row r="180" spans="17:18" x14ac:dyDescent="0.35">
      <c r="Q180" t="s">
        <v>697</v>
      </c>
      <c r="R180" t="s">
        <v>696</v>
      </c>
    </row>
    <row r="181" spans="17:18" x14ac:dyDescent="0.35">
      <c r="Q181" t="s">
        <v>699</v>
      </c>
      <c r="R181" t="s">
        <v>698</v>
      </c>
    </row>
    <row r="182" spans="17:18" x14ac:dyDescent="0.35">
      <c r="Q182" t="s">
        <v>701</v>
      </c>
      <c r="R182" t="s">
        <v>700</v>
      </c>
    </row>
    <row r="183" spans="17:18" x14ac:dyDescent="0.35">
      <c r="Q183" t="s">
        <v>703</v>
      </c>
      <c r="R183" t="s">
        <v>702</v>
      </c>
    </row>
    <row r="184" spans="17:18" x14ac:dyDescent="0.35">
      <c r="Q184" t="s">
        <v>705</v>
      </c>
      <c r="R184" t="s">
        <v>704</v>
      </c>
    </row>
    <row r="185" spans="17:18" x14ac:dyDescent="0.35">
      <c r="Q185" t="s">
        <v>707</v>
      </c>
      <c r="R185" t="s">
        <v>706</v>
      </c>
    </row>
    <row r="186" spans="17:18" x14ac:dyDescent="0.35">
      <c r="Q186" t="s">
        <v>709</v>
      </c>
      <c r="R186" t="s">
        <v>708</v>
      </c>
    </row>
    <row r="187" spans="17:18" x14ac:dyDescent="0.35">
      <c r="Q187" t="s">
        <v>711</v>
      </c>
      <c r="R187" t="s">
        <v>710</v>
      </c>
    </row>
    <row r="188" spans="17:18" x14ac:dyDescent="0.35">
      <c r="Q188" t="s">
        <v>713</v>
      </c>
      <c r="R188" t="s">
        <v>712</v>
      </c>
    </row>
    <row r="189" spans="17:18" x14ac:dyDescent="0.35">
      <c r="Q189" t="s">
        <v>715</v>
      </c>
      <c r="R189" t="s">
        <v>714</v>
      </c>
    </row>
    <row r="190" spans="17:18" x14ac:dyDescent="0.35">
      <c r="Q190" t="s">
        <v>717</v>
      </c>
      <c r="R190" t="s">
        <v>716</v>
      </c>
    </row>
    <row r="191" spans="17:18" x14ac:dyDescent="0.35">
      <c r="Q191" t="s">
        <v>719</v>
      </c>
      <c r="R191" t="s">
        <v>718</v>
      </c>
    </row>
    <row r="192" spans="17:18" x14ac:dyDescent="0.35">
      <c r="Q192" t="s">
        <v>721</v>
      </c>
      <c r="R192" t="s">
        <v>720</v>
      </c>
    </row>
    <row r="193" spans="17:18" x14ac:dyDescent="0.35">
      <c r="Q193" t="s">
        <v>723</v>
      </c>
      <c r="R193" t="s">
        <v>722</v>
      </c>
    </row>
    <row r="194" spans="17:18" x14ac:dyDescent="0.35">
      <c r="Q194" t="s">
        <v>725</v>
      </c>
      <c r="R194" t="s">
        <v>724</v>
      </c>
    </row>
    <row r="195" spans="17:18" x14ac:dyDescent="0.35">
      <c r="Q195" t="s">
        <v>727</v>
      </c>
      <c r="R195" t="s">
        <v>726</v>
      </c>
    </row>
    <row r="196" spans="17:18" x14ac:dyDescent="0.35">
      <c r="Q196" t="s">
        <v>729</v>
      </c>
      <c r="R196" t="s">
        <v>728</v>
      </c>
    </row>
    <row r="197" spans="17:18" x14ac:dyDescent="0.35">
      <c r="Q197" t="s">
        <v>731</v>
      </c>
      <c r="R197" t="s">
        <v>730</v>
      </c>
    </row>
    <row r="198" spans="17:18" x14ac:dyDescent="0.35">
      <c r="Q198" t="s">
        <v>733</v>
      </c>
      <c r="R198" t="s">
        <v>732</v>
      </c>
    </row>
    <row r="199" spans="17:18" x14ac:dyDescent="0.35">
      <c r="Q199" t="s">
        <v>735</v>
      </c>
      <c r="R199" t="s">
        <v>734</v>
      </c>
    </row>
    <row r="200" spans="17:18" x14ac:dyDescent="0.35">
      <c r="Q200" t="s">
        <v>737</v>
      </c>
      <c r="R200" t="s">
        <v>736</v>
      </c>
    </row>
    <row r="201" spans="17:18" x14ac:dyDescent="0.35">
      <c r="Q201" t="s">
        <v>739</v>
      </c>
      <c r="R201" t="s">
        <v>738</v>
      </c>
    </row>
    <row r="202" spans="17:18" x14ac:dyDescent="0.35">
      <c r="Q202" t="s">
        <v>741</v>
      </c>
      <c r="R202" t="s">
        <v>740</v>
      </c>
    </row>
    <row r="203" spans="17:18" x14ac:dyDescent="0.35">
      <c r="Q203" t="s">
        <v>743</v>
      </c>
      <c r="R203" t="s">
        <v>742</v>
      </c>
    </row>
    <row r="204" spans="17:18" x14ac:dyDescent="0.35">
      <c r="Q204" t="s">
        <v>745</v>
      </c>
      <c r="R204" t="s">
        <v>744</v>
      </c>
    </row>
    <row r="205" spans="17:18" x14ac:dyDescent="0.35">
      <c r="Q205" t="s">
        <v>747</v>
      </c>
      <c r="R205" t="s">
        <v>746</v>
      </c>
    </row>
    <row r="206" spans="17:18" x14ac:dyDescent="0.35">
      <c r="Q206" t="s">
        <v>748</v>
      </c>
      <c r="R206" t="s">
        <v>337</v>
      </c>
    </row>
    <row r="207" spans="17:18" x14ac:dyDescent="0.35">
      <c r="Q207" t="s">
        <v>750</v>
      </c>
      <c r="R207" t="s">
        <v>749</v>
      </c>
    </row>
    <row r="208" spans="17:18" x14ac:dyDescent="0.35">
      <c r="Q208" t="s">
        <v>752</v>
      </c>
      <c r="R208" t="s">
        <v>751</v>
      </c>
    </row>
    <row r="209" spans="17:18" x14ac:dyDescent="0.35">
      <c r="Q209" t="s">
        <v>754</v>
      </c>
      <c r="R209" t="s">
        <v>753</v>
      </c>
    </row>
    <row r="210" spans="17:18" x14ac:dyDescent="0.35">
      <c r="Q210" t="s">
        <v>756</v>
      </c>
      <c r="R210" t="s">
        <v>755</v>
      </c>
    </row>
    <row r="211" spans="17:18" x14ac:dyDescent="0.35">
      <c r="Q211" t="s">
        <v>758</v>
      </c>
      <c r="R211" t="s">
        <v>757</v>
      </c>
    </row>
    <row r="212" spans="17:18" x14ac:dyDescent="0.35">
      <c r="Q212" t="s">
        <v>760</v>
      </c>
      <c r="R212" t="s">
        <v>759</v>
      </c>
    </row>
    <row r="213" spans="17:18" x14ac:dyDescent="0.35">
      <c r="Q213" t="s">
        <v>762</v>
      </c>
      <c r="R213" t="s">
        <v>761</v>
      </c>
    </row>
    <row r="214" spans="17:18" x14ac:dyDescent="0.35">
      <c r="Q214" t="s">
        <v>764</v>
      </c>
      <c r="R214" t="s">
        <v>763</v>
      </c>
    </row>
    <row r="215" spans="17:18" x14ac:dyDescent="0.35">
      <c r="Q215" t="s">
        <v>766</v>
      </c>
      <c r="R215" t="s">
        <v>765</v>
      </c>
    </row>
    <row r="216" spans="17:18" x14ac:dyDescent="0.35">
      <c r="Q216" t="s">
        <v>768</v>
      </c>
      <c r="R216" t="s">
        <v>767</v>
      </c>
    </row>
    <row r="217" spans="17:18" x14ac:dyDescent="0.35">
      <c r="Q217" t="s">
        <v>770</v>
      </c>
      <c r="R217" t="s">
        <v>769</v>
      </c>
    </row>
    <row r="218" spans="17:18" x14ac:dyDescent="0.35">
      <c r="Q218" t="s">
        <v>772</v>
      </c>
      <c r="R218" t="s">
        <v>771</v>
      </c>
    </row>
    <row r="219" spans="17:18" x14ac:dyDescent="0.35">
      <c r="Q219" t="s">
        <v>774</v>
      </c>
      <c r="R219" t="s">
        <v>773</v>
      </c>
    </row>
    <row r="220" spans="17:18" x14ac:dyDescent="0.35">
      <c r="Q220" t="s">
        <v>776</v>
      </c>
      <c r="R220" t="s">
        <v>775</v>
      </c>
    </row>
    <row r="221" spans="17:18" x14ac:dyDescent="0.35">
      <c r="Q221" t="s">
        <v>778</v>
      </c>
      <c r="R221" t="s">
        <v>777</v>
      </c>
    </row>
    <row r="222" spans="17:18" x14ac:dyDescent="0.35">
      <c r="Q222" t="s">
        <v>780</v>
      </c>
      <c r="R222" t="s">
        <v>779</v>
      </c>
    </row>
    <row r="223" spans="17:18" x14ac:dyDescent="0.35">
      <c r="Q223" t="s">
        <v>782</v>
      </c>
      <c r="R223" t="s">
        <v>781</v>
      </c>
    </row>
    <row r="224" spans="17:18" x14ac:dyDescent="0.35">
      <c r="Q224" t="s">
        <v>784</v>
      </c>
      <c r="R224" t="s">
        <v>783</v>
      </c>
    </row>
    <row r="225" spans="17:18" x14ac:dyDescent="0.35">
      <c r="Q225" t="s">
        <v>786</v>
      </c>
      <c r="R225" t="s">
        <v>785</v>
      </c>
    </row>
    <row r="226" spans="17:18" x14ac:dyDescent="0.35">
      <c r="Q226" t="s">
        <v>788</v>
      </c>
      <c r="R226" t="s">
        <v>787</v>
      </c>
    </row>
    <row r="227" spans="17:18" x14ac:dyDescent="0.35">
      <c r="Q227" t="s">
        <v>790</v>
      </c>
      <c r="R227" t="s">
        <v>789</v>
      </c>
    </row>
    <row r="228" spans="17:18" x14ac:dyDescent="0.35">
      <c r="Q228" t="s">
        <v>792</v>
      </c>
      <c r="R228" t="s">
        <v>791</v>
      </c>
    </row>
    <row r="229" spans="17:18" x14ac:dyDescent="0.35">
      <c r="Q229" t="s">
        <v>794</v>
      </c>
      <c r="R229" t="s">
        <v>793</v>
      </c>
    </row>
    <row r="230" spans="17:18" x14ac:dyDescent="0.35">
      <c r="Q230" t="s">
        <v>796</v>
      </c>
      <c r="R230" t="s">
        <v>795</v>
      </c>
    </row>
    <row r="231" spans="17:18" x14ac:dyDescent="0.35">
      <c r="Q231" t="s">
        <v>798</v>
      </c>
      <c r="R231" t="s">
        <v>797</v>
      </c>
    </row>
    <row r="232" spans="17:18" x14ac:dyDescent="0.35">
      <c r="Q232" t="s">
        <v>800</v>
      </c>
      <c r="R232" t="s">
        <v>799</v>
      </c>
    </row>
    <row r="233" spans="17:18" x14ac:dyDescent="0.35">
      <c r="Q233" t="s">
        <v>802</v>
      </c>
      <c r="R233" t="s">
        <v>801</v>
      </c>
    </row>
    <row r="234" spans="17:18" x14ac:dyDescent="0.35">
      <c r="Q234" t="s">
        <v>804</v>
      </c>
      <c r="R234" t="s">
        <v>803</v>
      </c>
    </row>
    <row r="235" spans="17:18" x14ac:dyDescent="0.35">
      <c r="Q235" t="s">
        <v>806</v>
      </c>
      <c r="R235" t="s">
        <v>805</v>
      </c>
    </row>
    <row r="236" spans="17:18" x14ac:dyDescent="0.35">
      <c r="Q236" t="s">
        <v>807</v>
      </c>
      <c r="R236" t="s">
        <v>268</v>
      </c>
    </row>
    <row r="237" spans="17:18" x14ac:dyDescent="0.35">
      <c r="Q237" t="s">
        <v>809</v>
      </c>
      <c r="R237" t="s">
        <v>808</v>
      </c>
    </row>
    <row r="238" spans="17:18" x14ac:dyDescent="0.35">
      <c r="Q238" t="s">
        <v>811</v>
      </c>
      <c r="R238" t="s">
        <v>810</v>
      </c>
    </row>
    <row r="239" spans="17:18" x14ac:dyDescent="0.35">
      <c r="Q239" t="s">
        <v>813</v>
      </c>
      <c r="R239" t="s">
        <v>812</v>
      </c>
    </row>
    <row r="240" spans="17:18" x14ac:dyDescent="0.35">
      <c r="Q240" t="s">
        <v>815</v>
      </c>
      <c r="R240" t="s">
        <v>814</v>
      </c>
    </row>
    <row r="241" spans="17:18" x14ac:dyDescent="0.35">
      <c r="Q241" t="s">
        <v>817</v>
      </c>
      <c r="R241" t="s">
        <v>816</v>
      </c>
    </row>
    <row r="242" spans="17:18" x14ac:dyDescent="0.35">
      <c r="Q242" t="s">
        <v>819</v>
      </c>
      <c r="R242" t="s">
        <v>818</v>
      </c>
    </row>
    <row r="243" spans="17:18" x14ac:dyDescent="0.35">
      <c r="Q243" t="s">
        <v>821</v>
      </c>
      <c r="R243" t="s">
        <v>820</v>
      </c>
    </row>
    <row r="244" spans="17:18" x14ac:dyDescent="0.35">
      <c r="Q244" t="s">
        <v>823</v>
      </c>
      <c r="R244" t="s">
        <v>822</v>
      </c>
    </row>
    <row r="245" spans="17:18" x14ac:dyDescent="0.35">
      <c r="Q245" t="s">
        <v>825</v>
      </c>
      <c r="R245" t="s">
        <v>824</v>
      </c>
    </row>
    <row r="246" spans="17:18" x14ac:dyDescent="0.35">
      <c r="Q246" t="s">
        <v>827</v>
      </c>
      <c r="R246" t="s">
        <v>826</v>
      </c>
    </row>
    <row r="247" spans="17:18" x14ac:dyDescent="0.35">
      <c r="Q247" t="s">
        <v>829</v>
      </c>
      <c r="R247" t="s">
        <v>828</v>
      </c>
    </row>
    <row r="248" spans="17:18" x14ac:dyDescent="0.35">
      <c r="Q248" t="s">
        <v>831</v>
      </c>
      <c r="R248" t="s">
        <v>830</v>
      </c>
    </row>
    <row r="249" spans="17:18" x14ac:dyDescent="0.35">
      <c r="Q249" t="s">
        <v>833</v>
      </c>
      <c r="R249" t="s">
        <v>832</v>
      </c>
    </row>
  </sheetData>
  <sheetProtection formatCells="0" formatColumns="0" formatRows="0" insertColumns="0" insertRows="0" deleteColumns="0" deleteRows="0"/>
  <dataConsolidate/>
  <dataValidations count="2">
    <dataValidation type="list" allowBlank="1" showInputMessage="1" showErrorMessage="1" sqref="L16">
      <formula1>$O$1:$O$26</formula1>
    </dataValidation>
    <dataValidation type="list" allowBlank="1" showInputMessage="1" showErrorMessage="1" sqref="L19">
      <formula1>$Q$1:$Q$249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85" r:id="rId4" name="FinalizeMoves">
          <controlPr defaultSize="0" autoLine="0" r:id="rId5">
            <anchor moveWithCells="1">
              <from>
                <xdr:col>10</xdr:col>
                <xdr:colOff>31750</xdr:colOff>
                <xdr:row>20</xdr:row>
                <xdr:rowOff>171450</xdr:rowOff>
              </from>
              <to>
                <xdr:col>10</xdr:col>
                <xdr:colOff>2165350</xdr:colOff>
                <xdr:row>21</xdr:row>
                <xdr:rowOff>177800</xdr:rowOff>
              </to>
            </anchor>
          </controlPr>
        </control>
      </mc:Choice>
      <mc:Fallback>
        <control shapeId="3085" r:id="rId4" name="FinalizeMoves"/>
      </mc:Fallback>
    </mc:AlternateContent>
    <mc:AlternateContent xmlns:mc="http://schemas.openxmlformats.org/markup-compatibility/2006">
      <mc:Choice Requires="x14">
        <control shapeId="3083" r:id="rId6" name="SuspendMoves">
          <controlPr defaultSize="0" autoLine="0" r:id="rId7">
            <anchor moveWithCells="1">
              <from>
                <xdr:col>10</xdr:col>
                <xdr:colOff>31750</xdr:colOff>
                <xdr:row>19</xdr:row>
                <xdr:rowOff>171450</xdr:rowOff>
              </from>
              <to>
                <xdr:col>10</xdr:col>
                <xdr:colOff>2165350</xdr:colOff>
                <xdr:row>20</xdr:row>
                <xdr:rowOff>177800</xdr:rowOff>
              </to>
            </anchor>
          </controlPr>
        </control>
      </mc:Choice>
      <mc:Fallback>
        <control shapeId="3083" r:id="rId6" name="SuspendMoves"/>
      </mc:Fallback>
    </mc:AlternateContent>
    <mc:AlternateContent xmlns:mc="http://schemas.openxmlformats.org/markup-compatibility/2006">
      <mc:Choice Requires="x14">
        <control shapeId="3073" r:id="rId8" name="Button 1">
          <controlPr defaultSize="0" print="0" autoFill="0" autoPict="0" macro="[0]!Planned_Refresh">
            <anchor moveWithCells="1" sizeWithCells="1">
              <from>
                <xdr:col>9</xdr:col>
                <xdr:colOff>19050</xdr:colOff>
                <xdr:row>0</xdr:row>
                <xdr:rowOff>19050</xdr:rowOff>
              </from>
              <to>
                <xdr:col>10</xdr:col>
                <xdr:colOff>19050</xdr:colOff>
                <xdr:row>0</xdr:row>
                <xdr:rowOff>222250</xdr:rowOff>
              </to>
            </anchor>
          </controlPr>
        </control>
      </mc:Choice>
    </mc:AlternateContent>
    <mc:AlternateContent xmlns:mc="http://schemas.openxmlformats.org/markup-compatibility/2006">
      <mc:Choice Requires="x14">
        <control shapeId="3077" r:id="rId9" name="Button 5">
          <controlPr defaultSize="0" print="0" autoFill="0" autoPict="0" macro="[0]!Activate_Licenses">
            <anchor moveWithCells="1" sizeWithCells="1">
              <from>
                <xdr:col>10</xdr:col>
                <xdr:colOff>19050</xdr:colOff>
                <xdr:row>0</xdr:row>
                <xdr:rowOff>31750</xdr:rowOff>
              </from>
              <to>
                <xdr:col>10</xdr:col>
                <xdr:colOff>1143000</xdr:colOff>
                <xdr:row>0</xdr:row>
                <xdr:rowOff>222250</xdr:rowOff>
              </to>
            </anchor>
          </controlPr>
        </control>
      </mc:Choice>
    </mc:AlternateContent>
    <mc:AlternateContent xmlns:mc="http://schemas.openxmlformats.org/markup-compatibility/2006">
      <mc:Choice Requires="x14">
        <control shapeId="3075" r:id="rId10" name="Button 3">
          <controlPr defaultSize="0" print="0" autoFill="0" autoPict="0" macro="[0]!Export_MoveScript">
            <anchor moveWithCells="1" sizeWithCells="1">
              <from>
                <xdr:col>10</xdr:col>
                <xdr:colOff>1143000</xdr:colOff>
                <xdr:row>0</xdr:row>
                <xdr:rowOff>19050</xdr:rowOff>
              </from>
              <to>
                <xdr:col>10</xdr:col>
                <xdr:colOff>2032000</xdr:colOff>
                <xdr:row>0</xdr:row>
                <xdr:rowOff>222250</xdr:rowOff>
              </to>
            </anchor>
          </controlPr>
        </control>
      </mc:Choice>
    </mc:AlternateContent>
    <mc:AlternateContent xmlns:mc="http://schemas.openxmlformats.org/markup-compatibility/2006">
      <mc:Choice Requires="x14">
        <control shapeId="3074" r:id="rId11" name="Button 2">
          <controlPr defaultSize="0" print="0" autoFill="0" autoPict="0" macro="[0]!Migrate_Mailboxes">
            <anchor moveWithCells="1" sizeWithCells="1">
              <from>
                <xdr:col>10</xdr:col>
                <xdr:colOff>2032000</xdr:colOff>
                <xdr:row>0</xdr:row>
                <xdr:rowOff>19050</xdr:rowOff>
              </from>
              <to>
                <xdr:col>11</xdr:col>
                <xdr:colOff>438150</xdr:colOff>
                <xdr:row>0</xdr:row>
                <xdr:rowOff>222250</xdr:rowOff>
              </to>
            </anchor>
          </controlPr>
        </control>
      </mc:Choice>
    </mc:AlternateContent>
    <mc:AlternateContent xmlns:mc="http://schemas.openxmlformats.org/markup-compatibility/2006">
      <mc:Choice Requires="x14">
        <control shapeId="3080" r:id="rId12" name="Button 8">
          <controlPr defaultSize="0" print="0" autoFill="0" autoPict="0" macro="[0]!Show_Moverequests">
            <anchor moveWithCells="1" sizeWithCells="1">
              <from>
                <xdr:col>10</xdr:col>
                <xdr:colOff>19050</xdr:colOff>
                <xdr:row>0</xdr:row>
                <xdr:rowOff>222250</xdr:rowOff>
              </from>
              <to>
                <xdr:col>10</xdr:col>
                <xdr:colOff>1504950</xdr:colOff>
                <xdr:row>2</xdr:row>
                <xdr:rowOff>12700</xdr:rowOff>
              </to>
            </anchor>
          </controlPr>
        </control>
      </mc:Choice>
    </mc:AlternateContent>
    <mc:AlternateContent xmlns:mc="http://schemas.openxmlformats.org/markup-compatibility/2006">
      <mc:Choice Requires="x14">
        <control shapeId="3086" r:id="rId13" name="Button 14">
          <controlPr defaultSize="0" print="0" autoFill="0" autoPict="0" macro="[0]!Finalize_Moverequests">
            <anchor moveWithCells="1" sizeWithCells="1">
              <from>
                <xdr:col>10</xdr:col>
                <xdr:colOff>1504950</xdr:colOff>
                <xdr:row>0</xdr:row>
                <xdr:rowOff>222250</xdr:rowOff>
              </from>
              <to>
                <xdr:col>11</xdr:col>
                <xdr:colOff>438150</xdr:colOff>
                <xdr:row>2</xdr:row>
                <xdr:rowOff>12700</xdr:rowOff>
              </to>
            </anchor>
          </controlPr>
        </control>
      </mc:Choice>
    </mc:AlternateContent>
    <mc:AlternateContent xmlns:mc="http://schemas.openxmlformats.org/markup-compatibility/2006">
      <mc:Choice Requires="x14">
        <control shapeId="3088" r:id="rId14" name="Button 16">
          <controlPr defaultSize="0" print="0" autoFill="0" autoPict="0" macro="[0]!Remote_PowerShell">
            <anchor moveWithCells="1" sizeWithCells="1">
              <from>
                <xdr:col>11</xdr:col>
                <xdr:colOff>438150</xdr:colOff>
                <xdr:row>0</xdr:row>
                <xdr:rowOff>12700</xdr:rowOff>
              </from>
              <to>
                <xdr:col>12</xdr:col>
                <xdr:colOff>247650</xdr:colOff>
                <xdr:row>2</xdr:row>
                <xdr:rowOff>12700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1"/>
  <sheetViews>
    <sheetView showGridLines="0" workbookViewId="0">
      <selection activeCell="B6" sqref="B6"/>
    </sheetView>
  </sheetViews>
  <sheetFormatPr baseColWidth="10" defaultColWidth="8.7265625" defaultRowHeight="14.5" x14ac:dyDescent="0.35"/>
  <cols>
    <col min="1" max="1" width="28.26953125" style="2" customWidth="1"/>
    <col min="2" max="2" width="20.1796875" style="2" customWidth="1"/>
    <col min="3" max="3" width="16.54296875" style="2" customWidth="1"/>
    <col min="4" max="4" width="14.54296875" customWidth="1"/>
    <col min="5" max="5" width="23" customWidth="1"/>
  </cols>
  <sheetData>
    <row r="1" spans="1:6" x14ac:dyDescent="0.35">
      <c r="A1" s="4" t="s">
        <v>0</v>
      </c>
      <c r="B1" s="4" t="s">
        <v>1</v>
      </c>
      <c r="C1" s="4" t="s">
        <v>2</v>
      </c>
      <c r="E1" s="12" t="s">
        <v>6</v>
      </c>
      <c r="F1" s="1">
        <f>ROUND(SUM(C:C)/1024,2)</f>
        <v>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ved_Refresh">
                <anchor moveWithCells="1" sizeWithCells="1">
                  <from>
                    <xdr:col>3</xdr:col>
                    <xdr:colOff>12700</xdr:colOff>
                    <xdr:row>0</xdr:row>
                    <xdr:rowOff>19050</xdr:rowOff>
                  </from>
                  <to>
                    <xdr:col>4</xdr:col>
                    <xdr:colOff>0</xdr:colOff>
                    <xdr:row>1</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4"/>
  <sheetViews>
    <sheetView showGridLines="0" workbookViewId="0">
      <selection activeCell="C13" sqref="C13"/>
    </sheetView>
  </sheetViews>
  <sheetFormatPr baseColWidth="10" defaultColWidth="8.7265625" defaultRowHeight="14.5" x14ac:dyDescent="0.35"/>
  <cols>
    <col min="1" max="1" width="26.81640625" bestFit="1" customWidth="1"/>
    <col min="2" max="2" width="13.7265625" bestFit="1" customWidth="1"/>
    <col min="3" max="3" width="14.453125" bestFit="1" customWidth="1"/>
    <col min="4" max="4" width="15.26953125" bestFit="1" customWidth="1"/>
    <col min="5" max="5" width="10.81640625" bestFit="1" customWidth="1"/>
    <col min="9" max="9" width="13.81640625" customWidth="1"/>
    <col min="10" max="10" width="11.26953125" customWidth="1"/>
  </cols>
  <sheetData>
    <row r="1" spans="1:10" x14ac:dyDescent="0.35">
      <c r="A1" s="1" t="s">
        <v>1</v>
      </c>
      <c r="B1" s="1" t="s">
        <v>81</v>
      </c>
      <c r="C1" s="1" t="s">
        <v>80</v>
      </c>
      <c r="D1" s="1" t="s">
        <v>79</v>
      </c>
      <c r="E1" s="1" t="s">
        <v>180</v>
      </c>
      <c r="F1" s="50" t="s">
        <v>77</v>
      </c>
      <c r="G1" s="50"/>
      <c r="H1" s="50"/>
      <c r="I1" s="50"/>
    </row>
    <row r="2" spans="1:10" x14ac:dyDescent="0.35">
      <c r="F2" s="50" t="s">
        <v>78</v>
      </c>
      <c r="G2" s="50"/>
      <c r="H2" s="50"/>
      <c r="I2" s="50"/>
    </row>
    <row r="3" spans="1:10" ht="15.5" x14ac:dyDescent="0.35">
      <c r="F3" s="51" t="s">
        <v>82</v>
      </c>
      <c r="G3" s="51"/>
      <c r="H3" s="51"/>
      <c r="I3" s="51"/>
      <c r="J3" s="16" t="e">
        <f>ROUND(AVERAGEIF(B:B,"&gt;0"),2)</f>
        <v>#DIV/0!</v>
      </c>
    </row>
    <row r="4" spans="1:10" ht="15.5" x14ac:dyDescent="0.35">
      <c r="F4" s="51" t="s">
        <v>83</v>
      </c>
      <c r="G4" s="51"/>
      <c r="H4" s="51"/>
      <c r="I4" s="51"/>
      <c r="J4" s="16">
        <f>ROUND((SUMIF(C:C,"&gt;0"))/1024,2)</f>
        <v>0</v>
      </c>
    </row>
  </sheetData>
  <mergeCells count="4">
    <mergeCell ref="F1:I1"/>
    <mergeCell ref="F2:I2"/>
    <mergeCell ref="F3:I3"/>
    <mergeCell ref="F4:I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veRequest_Stats">
                <anchor moveWithCells="1" sizeWithCells="1">
                  <from>
                    <xdr:col>9</xdr:col>
                    <xdr:colOff>12700</xdr:colOff>
                    <xdr:row>0</xdr:row>
                    <xdr:rowOff>19050</xdr:rowOff>
                  </from>
                  <to>
                    <xdr:col>11</xdr:col>
                    <xdr:colOff>12700</xdr:colOff>
                    <xdr:row>1</xdr:row>
                    <xdr:rowOff>19050</xdr:rowOff>
                  </to>
                </anchor>
              </controlPr>
            </control>
          </mc:Choice>
        </mc:AlternateContent>
        <mc:AlternateContent xmlns:mc="http://schemas.openxmlformats.org/markup-compatibility/2006">
          <mc:Choice Requires="x14">
            <control shapeId="9218" r:id="rId4" name="Button 2">
              <controlPr defaultSize="0" print="0" autoFill="0" autoPict="0" macro="[0]!Import_CSV">
                <anchor moveWithCells="1" sizeWithCells="1">
                  <from>
                    <xdr:col>9</xdr:col>
                    <xdr:colOff>12700</xdr:colOff>
                    <xdr:row>1</xdr:row>
                    <xdr:rowOff>19050</xdr:rowOff>
                  </from>
                  <to>
                    <xdr:col>11</xdr:col>
                    <xdr:colOff>12700</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
  <sheetViews>
    <sheetView showGridLines="0" workbookViewId="0">
      <selection activeCell="E20" sqref="E20"/>
    </sheetView>
  </sheetViews>
  <sheetFormatPr baseColWidth="10" defaultColWidth="8.7265625" defaultRowHeight="14.5" x14ac:dyDescent="0.35"/>
  <cols>
    <col min="1" max="1" width="28.54296875" bestFit="1" customWidth="1"/>
    <col min="2" max="2" width="27.453125" bestFit="1" customWidth="1"/>
    <col min="3" max="3" width="22.453125" bestFit="1" customWidth="1"/>
    <col min="4" max="4" width="17.7265625" bestFit="1" customWidth="1"/>
    <col min="5" max="5" width="14.453125" bestFit="1" customWidth="1"/>
  </cols>
  <sheetData>
    <row r="1" spans="1:4" x14ac:dyDescent="0.35">
      <c r="A1" s="1" t="s">
        <v>1</v>
      </c>
      <c r="B1" s="1" t="s">
        <v>291</v>
      </c>
      <c r="C1" s="1" t="s">
        <v>292</v>
      </c>
      <c r="D1" s="1" t="s">
        <v>293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Import_License_csv">
                <anchor moveWithCells="1" sizeWithCells="1">
                  <from>
                    <xdr:col>4</xdr:col>
                    <xdr:colOff>241300</xdr:colOff>
                    <xdr:row>1</xdr:row>
                    <xdr:rowOff>165100</xdr:rowOff>
                  </from>
                  <to>
                    <xdr:col>7</xdr:col>
                    <xdr:colOff>0</xdr:colOff>
                    <xdr:row>3</xdr:row>
                    <xdr:rowOff>127000</xdr:rowOff>
                  </to>
                </anchor>
              </controlPr>
            </control>
          </mc:Choice>
        </mc:AlternateContent>
        <mc:AlternateContent xmlns:mc="http://schemas.openxmlformats.org/markup-compatibility/2006">
          <mc:Choice Requires="x14">
            <control shapeId="16386" r:id="rId4" name="Button 2">
              <controlPr defaultSize="0" print="0" autoFill="0" autoPict="0" macro="[0]!Get_License_Stats_Tenant">
                <anchor moveWithCells="1" sizeWithCells="1">
                  <from>
                    <xdr:col>4</xdr:col>
                    <xdr:colOff>241300</xdr:colOff>
                    <xdr:row>0</xdr:row>
                    <xdr:rowOff>31750</xdr:rowOff>
                  </from>
                  <to>
                    <xdr:col>7</xdr:col>
                    <xdr:colOff>0</xdr:colOff>
                    <xdr:row>1</xdr:row>
                    <xdr:rowOff>165100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3"/>
  <sheetViews>
    <sheetView showGridLines="0" workbookViewId="0">
      <selection activeCell="B7" sqref="B7"/>
    </sheetView>
  </sheetViews>
  <sheetFormatPr baseColWidth="10" defaultColWidth="8.7265625" defaultRowHeight="14.5" x14ac:dyDescent="0.35"/>
  <cols>
    <col min="1" max="1" width="21" bestFit="1" customWidth="1"/>
    <col min="2" max="2" width="16.26953125" bestFit="1" customWidth="1"/>
    <col min="3" max="3" width="7.7265625" bestFit="1" customWidth="1"/>
    <col min="4" max="4" width="5.26953125" bestFit="1" customWidth="1"/>
    <col min="5" max="5" width="8.7265625" bestFit="1" customWidth="1"/>
    <col min="6" max="7" width="11.26953125" bestFit="1" customWidth="1"/>
  </cols>
  <sheetData>
    <row r="1" spans="1:2" x14ac:dyDescent="0.35">
      <c r="A1" s="36" t="s">
        <v>294</v>
      </c>
      <c r="B1" s="36" t="s">
        <v>297</v>
      </c>
    </row>
    <row r="2" spans="1:2" x14ac:dyDescent="0.35">
      <c r="A2" s="36" t="s">
        <v>295</v>
      </c>
      <c r="B2" t="s">
        <v>296</v>
      </c>
    </row>
    <row r="3" spans="1:2" x14ac:dyDescent="0.35">
      <c r="A3" s="17" t="s">
        <v>296</v>
      </c>
      <c r="B3" s="35"/>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
  <sheetViews>
    <sheetView topLeftCell="A4" workbookViewId="0">
      <selection activeCell="B23" sqref="B23"/>
    </sheetView>
  </sheetViews>
  <sheetFormatPr baseColWidth="10" defaultColWidth="8.7265625" defaultRowHeight="14.5" x14ac:dyDescent="0.35"/>
  <cols>
    <col min="1" max="1" width="14.7265625" customWidth="1"/>
    <col min="2" max="2" width="24.453125" customWidth="1"/>
    <col min="3" max="3" width="17.26953125" customWidth="1"/>
    <col min="4" max="4" width="68.1796875" customWidth="1"/>
  </cols>
  <sheetData>
    <row r="1" spans="1:6" x14ac:dyDescent="0.35">
      <c r="A1" s="19" t="s">
        <v>169</v>
      </c>
      <c r="B1" s="19" t="s">
        <v>170</v>
      </c>
      <c r="C1" s="19" t="s">
        <v>171</v>
      </c>
      <c r="D1" s="20" t="s">
        <v>172</v>
      </c>
      <c r="E1" s="11"/>
      <c r="F1" s="11"/>
    </row>
    <row r="2" spans="1:6" x14ac:dyDescent="0.35">
      <c r="A2" s="18">
        <v>41412</v>
      </c>
      <c r="B2" s="11" t="s">
        <v>5</v>
      </c>
      <c r="C2" s="11">
        <v>0.2</v>
      </c>
      <c r="D2" s="11" t="s">
        <v>173</v>
      </c>
      <c r="E2" s="11"/>
      <c r="F2" s="11"/>
    </row>
    <row r="3" spans="1:6" x14ac:dyDescent="0.35">
      <c r="A3" s="18">
        <v>41412</v>
      </c>
      <c r="B3" s="11" t="s">
        <v>5</v>
      </c>
      <c r="C3" s="11">
        <v>0.3</v>
      </c>
      <c r="D3" s="11" t="s">
        <v>183</v>
      </c>
      <c r="E3" s="11"/>
      <c r="F3" s="11"/>
    </row>
    <row r="4" spans="1:6" ht="29" x14ac:dyDescent="0.35">
      <c r="A4" s="18">
        <v>41413</v>
      </c>
      <c r="B4" s="11" t="s">
        <v>5</v>
      </c>
      <c r="C4" s="11">
        <v>0.31</v>
      </c>
      <c r="D4" s="33" t="s">
        <v>186</v>
      </c>
      <c r="E4" s="11"/>
      <c r="F4" s="11"/>
    </row>
    <row r="5" spans="1:6" x14ac:dyDescent="0.35">
      <c r="A5" s="18">
        <v>41413</v>
      </c>
      <c r="B5" s="11" t="s">
        <v>5</v>
      </c>
      <c r="C5" s="11">
        <v>0.32</v>
      </c>
      <c r="D5" s="33" t="s">
        <v>194</v>
      </c>
      <c r="E5" s="11"/>
      <c r="F5" s="11"/>
    </row>
    <row r="6" spans="1:6" x14ac:dyDescent="0.35">
      <c r="A6" s="18">
        <v>41428</v>
      </c>
      <c r="B6" s="11" t="s">
        <v>5</v>
      </c>
      <c r="C6" s="11">
        <v>0.33</v>
      </c>
      <c r="D6" s="33" t="s">
        <v>195</v>
      </c>
      <c r="E6" s="11"/>
      <c r="F6" s="11"/>
    </row>
    <row r="7" spans="1:6" x14ac:dyDescent="0.35">
      <c r="A7" s="18">
        <v>41431</v>
      </c>
      <c r="B7" s="11" t="s">
        <v>5</v>
      </c>
      <c r="C7" s="11">
        <v>0.34</v>
      </c>
      <c r="D7" s="33" t="s">
        <v>226</v>
      </c>
      <c r="E7" s="11"/>
      <c r="F7" s="11"/>
    </row>
    <row r="8" spans="1:6" x14ac:dyDescent="0.35">
      <c r="A8" s="18">
        <v>41443</v>
      </c>
      <c r="B8" s="11" t="s">
        <v>5</v>
      </c>
      <c r="C8" s="11">
        <v>0.35</v>
      </c>
      <c r="D8" s="33" t="s">
        <v>237</v>
      </c>
      <c r="E8" s="11"/>
      <c r="F8" s="11"/>
    </row>
    <row r="9" spans="1:6" x14ac:dyDescent="0.35">
      <c r="A9" s="18">
        <v>41487</v>
      </c>
      <c r="B9" s="11" t="s">
        <v>5</v>
      </c>
      <c r="C9" s="11">
        <v>0.36</v>
      </c>
      <c r="D9" s="33" t="s">
        <v>243</v>
      </c>
      <c r="E9" s="11"/>
      <c r="F9" s="11"/>
    </row>
    <row r="10" spans="1:6" x14ac:dyDescent="0.35">
      <c r="A10" s="18">
        <v>41492</v>
      </c>
      <c r="B10" s="11" t="s">
        <v>5</v>
      </c>
      <c r="C10" s="11">
        <v>0.37</v>
      </c>
      <c r="D10" s="33" t="s">
        <v>247</v>
      </c>
      <c r="E10" s="11"/>
      <c r="F10" s="11"/>
    </row>
    <row r="11" spans="1:6" x14ac:dyDescent="0.35">
      <c r="A11" s="18">
        <v>41503</v>
      </c>
      <c r="B11" s="11" t="s">
        <v>5</v>
      </c>
      <c r="C11" s="11">
        <v>0.38</v>
      </c>
      <c r="D11" s="33" t="s">
        <v>265</v>
      </c>
      <c r="E11" s="11"/>
      <c r="F11" s="11"/>
    </row>
    <row r="12" spans="1:6" x14ac:dyDescent="0.35">
      <c r="A12" s="18">
        <v>41504</v>
      </c>
      <c r="B12" s="11" t="s">
        <v>5</v>
      </c>
      <c r="C12" s="11">
        <v>0.39</v>
      </c>
      <c r="D12" s="33" t="s">
        <v>331</v>
      </c>
      <c r="E12" s="11"/>
      <c r="F12" s="11"/>
    </row>
    <row r="13" spans="1:6" x14ac:dyDescent="0.35">
      <c r="A13" s="18">
        <v>41505</v>
      </c>
      <c r="B13" s="11" t="s">
        <v>5</v>
      </c>
      <c r="C13" s="11">
        <v>0.4</v>
      </c>
      <c r="D13" s="33" t="s">
        <v>894</v>
      </c>
      <c r="E13" s="11"/>
      <c r="F13" s="11"/>
    </row>
    <row r="14" spans="1:6" x14ac:dyDescent="0.35">
      <c r="A14" s="18">
        <v>41507</v>
      </c>
      <c r="B14" s="11" t="s">
        <v>5</v>
      </c>
      <c r="C14" s="11">
        <v>0.41</v>
      </c>
      <c r="D14" s="33" t="s">
        <v>896</v>
      </c>
      <c r="E14" s="11"/>
      <c r="F14" s="11"/>
    </row>
    <row r="15" spans="1:6" ht="16.5" customHeight="1" x14ac:dyDescent="0.35">
      <c r="A15" s="18">
        <v>41508</v>
      </c>
      <c r="B15" s="11" t="s">
        <v>5</v>
      </c>
      <c r="C15" s="11">
        <v>0.42</v>
      </c>
      <c r="D15" s="33" t="s">
        <v>897</v>
      </c>
      <c r="E15" s="11"/>
      <c r="F15" s="11"/>
    </row>
    <row r="16" spans="1:6" x14ac:dyDescent="0.35">
      <c r="A16" s="18">
        <v>41515</v>
      </c>
      <c r="B16" s="11" t="s">
        <v>5</v>
      </c>
      <c r="C16" s="11">
        <v>0.43</v>
      </c>
      <c r="D16" s="33" t="s">
        <v>908</v>
      </c>
      <c r="E16" s="11"/>
      <c r="F16" s="11"/>
    </row>
    <row r="17" spans="1:6" x14ac:dyDescent="0.35">
      <c r="A17" s="18">
        <v>41516</v>
      </c>
      <c r="B17" s="11" t="s">
        <v>5</v>
      </c>
      <c r="C17" s="11">
        <v>0.44</v>
      </c>
      <c r="D17" s="33" t="s">
        <v>916</v>
      </c>
      <c r="E17" s="11"/>
      <c r="F17" s="11"/>
    </row>
    <row r="18" spans="1:6" x14ac:dyDescent="0.35">
      <c r="A18" s="18">
        <v>41716</v>
      </c>
      <c r="B18" s="11" t="s">
        <v>5</v>
      </c>
      <c r="C18" s="11">
        <v>1</v>
      </c>
      <c r="D18" s="33" t="s">
        <v>943</v>
      </c>
      <c r="E18" s="11"/>
      <c r="F18" s="11"/>
    </row>
    <row r="19" spans="1:6" x14ac:dyDescent="0.35">
      <c r="A19" s="18">
        <v>41726</v>
      </c>
      <c r="B19" s="11" t="s">
        <v>5</v>
      </c>
      <c r="C19" s="11">
        <v>1.01</v>
      </c>
      <c r="D19" s="33" t="s">
        <v>946</v>
      </c>
      <c r="E19" s="11"/>
      <c r="F19" s="11"/>
    </row>
    <row r="20" spans="1:6" ht="29" x14ac:dyDescent="0.35">
      <c r="A20" s="18">
        <v>41914</v>
      </c>
      <c r="B20" s="11" t="s">
        <v>5</v>
      </c>
      <c r="C20" s="11">
        <v>1.1000000000000001</v>
      </c>
      <c r="D20" s="33" t="s">
        <v>947</v>
      </c>
      <c r="E20" s="11"/>
      <c r="F20" s="11"/>
    </row>
    <row r="21" spans="1:6" x14ac:dyDescent="0.35">
      <c r="A21" s="18">
        <v>41938</v>
      </c>
      <c r="B21" s="11" t="s">
        <v>5</v>
      </c>
      <c r="C21" s="11">
        <v>1.2</v>
      </c>
      <c r="D21" s="33" t="s">
        <v>952</v>
      </c>
      <c r="E21" s="11"/>
      <c r="F21" s="11"/>
    </row>
    <row r="22" spans="1:6" x14ac:dyDescent="0.35">
      <c r="A22" s="11"/>
      <c r="B22" s="11"/>
      <c r="C22" s="11"/>
      <c r="D22" s="11"/>
      <c r="E22" s="11"/>
      <c r="F22" s="11"/>
    </row>
    <row r="23" spans="1:6" x14ac:dyDescent="0.35">
      <c r="A23" s="11"/>
      <c r="B23" s="11"/>
      <c r="C23" s="11"/>
      <c r="D23" s="11"/>
      <c r="E23" s="11"/>
      <c r="F23" s="11"/>
    </row>
    <row r="24" spans="1:6" x14ac:dyDescent="0.35">
      <c r="A24" s="11"/>
      <c r="B24" s="11"/>
      <c r="C24" s="11"/>
      <c r="D24" s="11"/>
      <c r="E24" s="11"/>
      <c r="F24" s="11"/>
    </row>
    <row r="25" spans="1:6" x14ac:dyDescent="0.35">
      <c r="A25" s="11"/>
      <c r="B25" s="11"/>
      <c r="C25" s="11"/>
      <c r="D25" s="11"/>
      <c r="E25" s="11"/>
      <c r="F25" s="11"/>
    </row>
    <row r="26" spans="1:6" x14ac:dyDescent="0.35">
      <c r="A26" s="11"/>
      <c r="B26" s="11"/>
      <c r="C26" s="11"/>
      <c r="D26" s="11"/>
      <c r="E26" s="11"/>
      <c r="F26"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301"/>
  <sheetViews>
    <sheetView topLeftCell="A283" workbookViewId="0">
      <selection activeCell="B75" sqref="B75"/>
    </sheetView>
  </sheetViews>
  <sheetFormatPr baseColWidth="10" defaultColWidth="8.7265625" defaultRowHeight="14.5" x14ac:dyDescent="0.35"/>
  <cols>
    <col min="1" max="1" width="15.1796875" bestFit="1" customWidth="1"/>
    <col min="2" max="2" width="61.7265625" customWidth="1"/>
    <col min="3" max="3" width="44.453125" customWidth="1"/>
    <col min="4" max="4" width="73.26953125" customWidth="1"/>
    <col min="5" max="5" width="41" customWidth="1"/>
    <col min="6" max="6" width="44.26953125" customWidth="1"/>
    <col min="7" max="7" width="26" customWidth="1"/>
    <col min="8" max="8" width="112.54296875" bestFit="1" customWidth="1"/>
  </cols>
  <sheetData>
    <row r="1" spans="1:8" x14ac:dyDescent="0.35">
      <c r="A1" s="5" t="s">
        <v>8</v>
      </c>
      <c r="B1" s="7">
        <v>7</v>
      </c>
    </row>
    <row r="2" spans="1:8" x14ac:dyDescent="0.35">
      <c r="A2" s="5" t="s">
        <v>9</v>
      </c>
      <c r="B2" s="6" t="s">
        <v>19</v>
      </c>
      <c r="C2" s="6" t="s">
        <v>20</v>
      </c>
      <c r="D2" s="6" t="s">
        <v>184</v>
      </c>
      <c r="E2" s="6" t="s">
        <v>185</v>
      </c>
      <c r="F2" s="6" t="s">
        <v>233</v>
      </c>
      <c r="G2" s="6" t="s">
        <v>266</v>
      </c>
      <c r="H2" s="6" t="s">
        <v>269</v>
      </c>
    </row>
    <row r="3" spans="1:8" x14ac:dyDescent="0.35">
      <c r="A3" s="7" t="s">
        <v>10</v>
      </c>
      <c r="B3" s="7">
        <v>294</v>
      </c>
      <c r="C3" s="7">
        <v>11</v>
      </c>
      <c r="D3" s="7">
        <v>71</v>
      </c>
      <c r="E3" s="7">
        <v>13</v>
      </c>
      <c r="F3" s="7">
        <v>13</v>
      </c>
      <c r="G3" s="7">
        <v>13</v>
      </c>
      <c r="H3" s="7">
        <v>115</v>
      </c>
    </row>
    <row r="4" spans="1:8" x14ac:dyDescent="0.35">
      <c r="A4" s="8" t="s">
        <v>11</v>
      </c>
      <c r="B4" s="6" t="s">
        <v>938</v>
      </c>
      <c r="C4" s="6" t="s">
        <v>16</v>
      </c>
      <c r="D4" s="6" t="s">
        <v>249</v>
      </c>
      <c r="E4" s="6" t="s">
        <v>16</v>
      </c>
      <c r="F4" s="6" t="s">
        <v>16</v>
      </c>
      <c r="G4" s="6" t="s">
        <v>16</v>
      </c>
      <c r="H4" s="6" t="s">
        <v>16</v>
      </c>
    </row>
    <row r="5" spans="1:8" x14ac:dyDescent="0.35">
      <c r="A5" s="9" t="s">
        <v>12</v>
      </c>
      <c r="B5" s="10" t="s">
        <v>937</v>
      </c>
      <c r="C5" s="10">
        <v>41408</v>
      </c>
      <c r="D5" s="10">
        <v>41408</v>
      </c>
      <c r="E5" s="10">
        <v>41408</v>
      </c>
      <c r="F5" s="10">
        <v>41443</v>
      </c>
      <c r="G5" s="10">
        <v>41450</v>
      </c>
      <c r="H5" t="s">
        <v>289</v>
      </c>
    </row>
    <row r="6" spans="1:8" x14ac:dyDescent="0.35">
      <c r="A6" s="5" t="s">
        <v>13</v>
      </c>
      <c r="B6" t="s">
        <v>84</v>
      </c>
      <c r="C6" t="s">
        <v>14</v>
      </c>
      <c r="D6" t="s">
        <v>84</v>
      </c>
      <c r="E6" t="s">
        <v>87</v>
      </c>
      <c r="F6" t="s">
        <v>161</v>
      </c>
      <c r="G6" t="s">
        <v>161</v>
      </c>
      <c r="H6" t="s">
        <v>329</v>
      </c>
    </row>
    <row r="7" spans="1:8" x14ac:dyDescent="0.35">
      <c r="B7" t="s">
        <v>146</v>
      </c>
      <c r="C7" t="s">
        <v>21</v>
      </c>
      <c r="D7" t="s">
        <v>85</v>
      </c>
      <c r="E7" t="s">
        <v>30</v>
      </c>
      <c r="F7" t="s">
        <v>87</v>
      </c>
      <c r="G7" t="s">
        <v>87</v>
      </c>
      <c r="H7" t="s">
        <v>84</v>
      </c>
    </row>
    <row r="8" spans="1:8" x14ac:dyDescent="0.35">
      <c r="B8" t="s">
        <v>153</v>
      </c>
      <c r="C8" t="s">
        <v>23</v>
      </c>
      <c r="D8" t="s">
        <v>86</v>
      </c>
      <c r="E8" t="s">
        <v>156</v>
      </c>
      <c r="F8" t="s">
        <v>30</v>
      </c>
      <c r="G8" t="s">
        <v>30</v>
      </c>
      <c r="H8" t="s">
        <v>85</v>
      </c>
    </row>
    <row r="9" spans="1:8" x14ac:dyDescent="0.35">
      <c r="B9" t="s">
        <v>244</v>
      </c>
      <c r="C9" t="s">
        <v>22</v>
      </c>
      <c r="E9" t="s">
        <v>88</v>
      </c>
      <c r="F9" t="s">
        <v>156</v>
      </c>
      <c r="G9" t="s">
        <v>156</v>
      </c>
      <c r="H9" t="s">
        <v>86</v>
      </c>
    </row>
    <row r="10" spans="1:8" x14ac:dyDescent="0.35">
      <c r="B10" t="s">
        <v>917</v>
      </c>
      <c r="C10" t="s">
        <v>192</v>
      </c>
      <c r="D10" t="s">
        <v>87</v>
      </c>
      <c r="E10" t="s">
        <v>44</v>
      </c>
      <c r="F10" t="s">
        <v>88</v>
      </c>
      <c r="G10" t="s">
        <v>88</v>
      </c>
    </row>
    <row r="11" spans="1:8" x14ac:dyDescent="0.35">
      <c r="B11" t="s">
        <v>918</v>
      </c>
      <c r="C11" t="s">
        <v>193</v>
      </c>
      <c r="D11" t="s">
        <v>30</v>
      </c>
      <c r="E11" t="s">
        <v>197</v>
      </c>
      <c r="F11" t="s">
        <v>44</v>
      </c>
      <c r="G11" t="s">
        <v>44</v>
      </c>
      <c r="H11" t="s">
        <v>45</v>
      </c>
    </row>
    <row r="12" spans="1:8" x14ac:dyDescent="0.35">
      <c r="B12" t="s">
        <v>919</v>
      </c>
      <c r="D12" t="s">
        <v>116</v>
      </c>
      <c r="E12" t="s">
        <v>196</v>
      </c>
      <c r="F12" t="s">
        <v>910</v>
      </c>
      <c r="G12" t="s">
        <v>267</v>
      </c>
      <c r="H12" t="s">
        <v>30</v>
      </c>
    </row>
    <row r="13" spans="1:8" x14ac:dyDescent="0.35">
      <c r="B13" t="s">
        <v>86</v>
      </c>
      <c r="D13" t="s">
        <v>117</v>
      </c>
      <c r="F13" t="s">
        <v>909</v>
      </c>
      <c r="H13" t="s">
        <v>118</v>
      </c>
    </row>
    <row r="14" spans="1:8" x14ac:dyDescent="0.35">
      <c r="B14" t="s">
        <v>161</v>
      </c>
      <c r="D14" t="s">
        <v>44</v>
      </c>
      <c r="H14" t="s">
        <v>119</v>
      </c>
    </row>
    <row r="15" spans="1:8" x14ac:dyDescent="0.35">
      <c r="B15" t="s">
        <v>155</v>
      </c>
      <c r="H15" t="s">
        <v>44</v>
      </c>
    </row>
    <row r="16" spans="1:8" x14ac:dyDescent="0.35">
      <c r="D16" t="s">
        <v>45</v>
      </c>
      <c r="H16" t="s">
        <v>14</v>
      </c>
    </row>
    <row r="17" spans="2:8" x14ac:dyDescent="0.35">
      <c r="B17" t="s">
        <v>87</v>
      </c>
      <c r="D17" t="s">
        <v>30</v>
      </c>
      <c r="H17" t="s">
        <v>161</v>
      </c>
    </row>
    <row r="18" spans="2:8" x14ac:dyDescent="0.35">
      <c r="B18" t="s">
        <v>30</v>
      </c>
      <c r="D18" t="s">
        <v>118</v>
      </c>
      <c r="H18" t="s">
        <v>21</v>
      </c>
    </row>
    <row r="19" spans="2:8" x14ac:dyDescent="0.35">
      <c r="B19" t="s">
        <v>156</v>
      </c>
      <c r="D19" t="s">
        <v>119</v>
      </c>
      <c r="H19" t="s">
        <v>23</v>
      </c>
    </row>
    <row r="20" spans="2:8" x14ac:dyDescent="0.35">
      <c r="B20" t="s">
        <v>88</v>
      </c>
      <c r="D20" t="s">
        <v>44</v>
      </c>
      <c r="H20" t="s">
        <v>22</v>
      </c>
    </row>
    <row r="21" spans="2:8" x14ac:dyDescent="0.35">
      <c r="B21" t="s">
        <v>157</v>
      </c>
    </row>
    <row r="22" spans="2:8" x14ac:dyDescent="0.35">
      <c r="B22" t="s">
        <v>158</v>
      </c>
      <c r="D22" t="s">
        <v>56</v>
      </c>
      <c r="H22" t="s">
        <v>56</v>
      </c>
    </row>
    <row r="23" spans="2:8" x14ac:dyDescent="0.35">
      <c r="B23" t="s">
        <v>44</v>
      </c>
      <c r="D23" t="s">
        <v>113</v>
      </c>
      <c r="H23" t="s">
        <v>298</v>
      </c>
    </row>
    <row r="25" spans="2:8" x14ac:dyDescent="0.35">
      <c r="B25" t="s">
        <v>45</v>
      </c>
      <c r="D25" t="s">
        <v>188</v>
      </c>
      <c r="H25" t="s">
        <v>270</v>
      </c>
    </row>
    <row r="26" spans="2:8" x14ac:dyDescent="0.35">
      <c r="B26" t="s">
        <v>30</v>
      </c>
      <c r="H26" t="s">
        <v>895</v>
      </c>
    </row>
    <row r="27" spans="2:8" x14ac:dyDescent="0.35">
      <c r="B27" t="s">
        <v>46</v>
      </c>
      <c r="D27" t="s">
        <v>114</v>
      </c>
      <c r="H27" t="s">
        <v>870</v>
      </c>
    </row>
    <row r="28" spans="2:8" x14ac:dyDescent="0.35">
      <c r="B28" t="s">
        <v>47</v>
      </c>
      <c r="H28" t="s">
        <v>871</v>
      </c>
    </row>
    <row r="29" spans="2:8" x14ac:dyDescent="0.35">
      <c r="B29" t="s">
        <v>44</v>
      </c>
      <c r="D29" t="s">
        <v>154</v>
      </c>
      <c r="H29" t="s">
        <v>271</v>
      </c>
    </row>
    <row r="30" spans="2:8" x14ac:dyDescent="0.35">
      <c r="H30" t="s">
        <v>272</v>
      </c>
    </row>
    <row r="31" spans="2:8" x14ac:dyDescent="0.35">
      <c r="B31" t="s">
        <v>29</v>
      </c>
      <c r="D31" t="s">
        <v>115</v>
      </c>
      <c r="H31" t="s">
        <v>273</v>
      </c>
    </row>
    <row r="32" spans="2:8" x14ac:dyDescent="0.35">
      <c r="B32" t="s">
        <v>30</v>
      </c>
      <c r="D32" t="s">
        <v>30</v>
      </c>
      <c r="H32" t="s">
        <v>290</v>
      </c>
    </row>
    <row r="33" spans="2:8" x14ac:dyDescent="0.35">
      <c r="B33" t="s">
        <v>31</v>
      </c>
      <c r="D33" t="s">
        <v>120</v>
      </c>
      <c r="H33" t="s">
        <v>274</v>
      </c>
    </row>
    <row r="34" spans="2:8" x14ac:dyDescent="0.35">
      <c r="B34" t="s">
        <v>32</v>
      </c>
      <c r="D34" t="s">
        <v>121</v>
      </c>
      <c r="H34" t="s">
        <v>275</v>
      </c>
    </row>
    <row r="35" spans="2:8" x14ac:dyDescent="0.35">
      <c r="B35" t="s">
        <v>33</v>
      </c>
      <c r="D35" t="s">
        <v>122</v>
      </c>
      <c r="H35" t="s">
        <v>872</v>
      </c>
    </row>
    <row r="36" spans="2:8" x14ac:dyDescent="0.35">
      <c r="B36" t="s">
        <v>34</v>
      </c>
      <c r="D36" t="s">
        <v>899</v>
      </c>
      <c r="H36" t="s">
        <v>276</v>
      </c>
    </row>
    <row r="37" spans="2:8" x14ac:dyDescent="0.35">
      <c r="B37" t="s">
        <v>35</v>
      </c>
      <c r="D37" t="s">
        <v>179</v>
      </c>
      <c r="H37" t="s">
        <v>277</v>
      </c>
    </row>
    <row r="38" spans="2:8" x14ac:dyDescent="0.35">
      <c r="D38" t="s">
        <v>126</v>
      </c>
      <c r="H38" t="s">
        <v>278</v>
      </c>
    </row>
    <row r="39" spans="2:8" x14ac:dyDescent="0.35">
      <c r="B39" t="s">
        <v>36</v>
      </c>
      <c r="D39" t="s">
        <v>123</v>
      </c>
      <c r="H39" t="s">
        <v>279</v>
      </c>
    </row>
    <row r="40" spans="2:8" x14ac:dyDescent="0.35">
      <c r="B40" t="s">
        <v>37</v>
      </c>
      <c r="D40" t="s">
        <v>32</v>
      </c>
      <c r="H40" t="s">
        <v>873</v>
      </c>
    </row>
    <row r="41" spans="2:8" x14ac:dyDescent="0.35">
      <c r="B41" t="s">
        <v>38</v>
      </c>
      <c r="D41" t="s">
        <v>176</v>
      </c>
      <c r="H41" t="s">
        <v>280</v>
      </c>
    </row>
    <row r="42" spans="2:8" x14ac:dyDescent="0.35">
      <c r="B42" t="s">
        <v>39</v>
      </c>
      <c r="D42" t="s">
        <v>900</v>
      </c>
      <c r="H42" t="s">
        <v>281</v>
      </c>
    </row>
    <row r="43" spans="2:8" x14ac:dyDescent="0.35">
      <c r="B43" t="s">
        <v>40</v>
      </c>
      <c r="D43" t="s">
        <v>41</v>
      </c>
      <c r="H43" t="s">
        <v>282</v>
      </c>
    </row>
    <row r="44" spans="2:8" x14ac:dyDescent="0.35">
      <c r="B44" t="s">
        <v>37</v>
      </c>
      <c r="D44" t="s">
        <v>177</v>
      </c>
      <c r="H44" t="s">
        <v>283</v>
      </c>
    </row>
    <row r="45" spans="2:8" x14ac:dyDescent="0.35">
      <c r="B45" t="s">
        <v>41</v>
      </c>
      <c r="D45" t="s">
        <v>32</v>
      </c>
      <c r="H45" t="s">
        <v>284</v>
      </c>
    </row>
    <row r="46" spans="2:8" x14ac:dyDescent="0.35">
      <c r="B46" t="s">
        <v>42</v>
      </c>
      <c r="D46" t="s">
        <v>124</v>
      </c>
      <c r="H46" t="s">
        <v>874</v>
      </c>
    </row>
    <row r="47" spans="2:8" x14ac:dyDescent="0.35">
      <c r="B47" t="s">
        <v>32</v>
      </c>
      <c r="D47" t="s">
        <v>901</v>
      </c>
      <c r="H47" t="s">
        <v>875</v>
      </c>
    </row>
    <row r="48" spans="2:8" x14ac:dyDescent="0.35">
      <c r="B48" t="s">
        <v>43</v>
      </c>
      <c r="D48" t="s">
        <v>41</v>
      </c>
      <c r="H48" t="s">
        <v>285</v>
      </c>
    </row>
    <row r="49" spans="2:8" x14ac:dyDescent="0.35">
      <c r="B49" t="s">
        <v>41</v>
      </c>
      <c r="D49" t="s">
        <v>42</v>
      </c>
      <c r="H49" t="s">
        <v>286</v>
      </c>
    </row>
    <row r="50" spans="2:8" x14ac:dyDescent="0.35">
      <c r="B50" t="s">
        <v>44</v>
      </c>
      <c r="D50" t="s">
        <v>32</v>
      </c>
      <c r="H50" t="s">
        <v>876</v>
      </c>
    </row>
    <row r="51" spans="2:8" x14ac:dyDescent="0.35">
      <c r="D51" t="s">
        <v>125</v>
      </c>
      <c r="H51" t="s">
        <v>877</v>
      </c>
    </row>
    <row r="52" spans="2:8" x14ac:dyDescent="0.35">
      <c r="B52" t="s">
        <v>200</v>
      </c>
      <c r="D52" t="s">
        <v>902</v>
      </c>
      <c r="H52" t="s">
        <v>878</v>
      </c>
    </row>
    <row r="53" spans="2:8" x14ac:dyDescent="0.35">
      <c r="B53" t="s">
        <v>162</v>
      </c>
      <c r="D53" t="s">
        <v>41</v>
      </c>
      <c r="H53" t="s">
        <v>879</v>
      </c>
    </row>
    <row r="54" spans="2:8" x14ac:dyDescent="0.35">
      <c r="B54" t="s">
        <v>49</v>
      </c>
      <c r="D54" t="s">
        <v>110</v>
      </c>
      <c r="H54" t="s">
        <v>880</v>
      </c>
    </row>
    <row r="55" spans="2:8" x14ac:dyDescent="0.35">
      <c r="B55" t="s">
        <v>50</v>
      </c>
      <c r="D55" t="s">
        <v>903</v>
      </c>
      <c r="H55" t="s">
        <v>881</v>
      </c>
    </row>
    <row r="56" spans="2:8" x14ac:dyDescent="0.35">
      <c r="B56" t="s">
        <v>201</v>
      </c>
      <c r="D56" t="s">
        <v>71</v>
      </c>
      <c r="H56" t="s">
        <v>882</v>
      </c>
    </row>
    <row r="57" spans="2:8" x14ac:dyDescent="0.35">
      <c r="B57" t="s">
        <v>91</v>
      </c>
      <c r="D57" t="s">
        <v>904</v>
      </c>
      <c r="H57" t="s">
        <v>883</v>
      </c>
    </row>
    <row r="58" spans="2:8" x14ac:dyDescent="0.35">
      <c r="B58" t="s">
        <v>202</v>
      </c>
      <c r="D58" t="s">
        <v>248</v>
      </c>
      <c r="H58" t="s">
        <v>884</v>
      </c>
    </row>
    <row r="59" spans="2:8" x14ac:dyDescent="0.35">
      <c r="B59" t="s">
        <v>66</v>
      </c>
      <c r="D59" t="s">
        <v>178</v>
      </c>
      <c r="H59" t="s">
        <v>885</v>
      </c>
    </row>
    <row r="60" spans="2:8" x14ac:dyDescent="0.35">
      <c r="B60" t="s">
        <v>203</v>
      </c>
      <c r="D60" t="s">
        <v>44</v>
      </c>
      <c r="H60" t="s">
        <v>287</v>
      </c>
    </row>
    <row r="61" spans="2:8" x14ac:dyDescent="0.35">
      <c r="B61" t="s">
        <v>72</v>
      </c>
      <c r="H61" t="s">
        <v>299</v>
      </c>
    </row>
    <row r="62" spans="2:8" x14ac:dyDescent="0.35">
      <c r="B62" t="s">
        <v>204</v>
      </c>
      <c r="D62" t="s">
        <v>128</v>
      </c>
      <c r="H62" t="s">
        <v>300</v>
      </c>
    </row>
    <row r="63" spans="2:8" x14ac:dyDescent="0.35">
      <c r="B63" t="s">
        <v>920</v>
      </c>
      <c r="D63" t="s">
        <v>129</v>
      </c>
      <c r="H63" t="s">
        <v>301</v>
      </c>
    </row>
    <row r="64" spans="2:8" x14ac:dyDescent="0.35">
      <c r="B64" t="s">
        <v>205</v>
      </c>
      <c r="H64" t="s">
        <v>332</v>
      </c>
    </row>
    <row r="65" spans="2:8" x14ac:dyDescent="0.35">
      <c r="B65" t="s">
        <v>206</v>
      </c>
      <c r="H65" t="s">
        <v>302</v>
      </c>
    </row>
    <row r="66" spans="2:8" x14ac:dyDescent="0.35">
      <c r="B66" t="s">
        <v>207</v>
      </c>
      <c r="H66" t="s">
        <v>886</v>
      </c>
    </row>
    <row r="67" spans="2:8" x14ac:dyDescent="0.35">
      <c r="B67" t="s">
        <v>208</v>
      </c>
      <c r="H67" t="s">
        <v>887</v>
      </c>
    </row>
    <row r="68" spans="2:8" x14ac:dyDescent="0.35">
      <c r="B68" t="s">
        <v>209</v>
      </c>
      <c r="H68" t="s">
        <v>888</v>
      </c>
    </row>
    <row r="69" spans="2:8" x14ac:dyDescent="0.35">
      <c r="B69" t="s">
        <v>210</v>
      </c>
      <c r="H69" t="s">
        <v>889</v>
      </c>
    </row>
    <row r="70" spans="2:8" x14ac:dyDescent="0.35">
      <c r="B70" t="s">
        <v>211</v>
      </c>
      <c r="H70" t="s">
        <v>890</v>
      </c>
    </row>
    <row r="71" spans="2:8" x14ac:dyDescent="0.35">
      <c r="B71" t="s">
        <v>212</v>
      </c>
      <c r="H71" t="s">
        <v>891</v>
      </c>
    </row>
    <row r="72" spans="2:8" x14ac:dyDescent="0.35">
      <c r="B72" t="s">
        <v>72</v>
      </c>
      <c r="H72" t="s">
        <v>892</v>
      </c>
    </row>
    <row r="73" spans="2:8" x14ac:dyDescent="0.35">
      <c r="B73" t="s">
        <v>213</v>
      </c>
      <c r="H73" t="s">
        <v>303</v>
      </c>
    </row>
    <row r="74" spans="2:8" x14ac:dyDescent="0.35">
      <c r="B74" t="s">
        <v>214</v>
      </c>
    </row>
    <row r="75" spans="2:8" x14ac:dyDescent="0.35">
      <c r="B75" t="s">
        <v>96</v>
      </c>
      <c r="H75" t="s">
        <v>114</v>
      </c>
    </row>
    <row r="76" spans="2:8" x14ac:dyDescent="0.35">
      <c r="B76" t="s">
        <v>163</v>
      </c>
      <c r="H76" t="s">
        <v>304</v>
      </c>
    </row>
    <row r="77" spans="2:8" x14ac:dyDescent="0.35">
      <c r="B77" t="s">
        <v>91</v>
      </c>
      <c r="H77" t="s">
        <v>305</v>
      </c>
    </row>
    <row r="78" spans="2:8" x14ac:dyDescent="0.35">
      <c r="B78" t="s">
        <v>225</v>
      </c>
      <c r="H78" t="s">
        <v>333</v>
      </c>
    </row>
    <row r="79" spans="2:8" x14ac:dyDescent="0.35">
      <c r="B79" t="s">
        <v>96</v>
      </c>
      <c r="H79" t="s">
        <v>893</v>
      </c>
    </row>
    <row r="80" spans="2:8" x14ac:dyDescent="0.35">
      <c r="B80" t="s">
        <v>51</v>
      </c>
      <c r="H80" t="s">
        <v>306</v>
      </c>
    </row>
    <row r="81" spans="2:8" x14ac:dyDescent="0.35">
      <c r="B81" t="s">
        <v>52</v>
      </c>
      <c r="H81" t="s">
        <v>30</v>
      </c>
    </row>
    <row r="82" spans="2:8" x14ac:dyDescent="0.35">
      <c r="B82" t="s">
        <v>50</v>
      </c>
      <c r="H82" t="s">
        <v>334</v>
      </c>
    </row>
    <row r="83" spans="2:8" x14ac:dyDescent="0.35">
      <c r="B83" t="s">
        <v>164</v>
      </c>
      <c r="H83" t="s">
        <v>335</v>
      </c>
    </row>
    <row r="84" spans="2:8" x14ac:dyDescent="0.35">
      <c r="B84" t="s">
        <v>51</v>
      </c>
      <c r="H84" t="s">
        <v>307</v>
      </c>
    </row>
    <row r="85" spans="2:8" x14ac:dyDescent="0.35">
      <c r="B85" t="s">
        <v>44</v>
      </c>
      <c r="H85" t="s">
        <v>308</v>
      </c>
    </row>
    <row r="86" spans="2:8" x14ac:dyDescent="0.35">
      <c r="H86" t="s">
        <v>309</v>
      </c>
    </row>
    <row r="87" spans="2:8" x14ac:dyDescent="0.35">
      <c r="B87" t="s">
        <v>48</v>
      </c>
      <c r="H87" t="s">
        <v>288</v>
      </c>
    </row>
    <row r="88" spans="2:8" x14ac:dyDescent="0.35">
      <c r="B88" t="s">
        <v>30</v>
      </c>
      <c r="H88" t="s">
        <v>310</v>
      </c>
    </row>
    <row r="89" spans="2:8" x14ac:dyDescent="0.35">
      <c r="B89" t="s">
        <v>921</v>
      </c>
      <c r="H89" t="s">
        <v>311</v>
      </c>
    </row>
    <row r="90" spans="2:8" x14ac:dyDescent="0.35">
      <c r="B90" t="s">
        <v>66</v>
      </c>
      <c r="H90" t="s">
        <v>312</v>
      </c>
    </row>
    <row r="91" spans="2:8" x14ac:dyDescent="0.35">
      <c r="B91" t="s">
        <v>922</v>
      </c>
      <c r="H91" t="s">
        <v>313</v>
      </c>
    </row>
    <row r="92" spans="2:8" x14ac:dyDescent="0.35">
      <c r="B92" t="s">
        <v>34</v>
      </c>
      <c r="H92" t="s">
        <v>314</v>
      </c>
    </row>
    <row r="93" spans="2:8" x14ac:dyDescent="0.35">
      <c r="B93" t="s">
        <v>923</v>
      </c>
      <c r="H93" t="s">
        <v>315</v>
      </c>
    </row>
    <row r="94" spans="2:8" x14ac:dyDescent="0.35">
      <c r="B94" t="s">
        <v>924</v>
      </c>
      <c r="H94" t="s">
        <v>316</v>
      </c>
    </row>
    <row r="95" spans="2:8" x14ac:dyDescent="0.35">
      <c r="B95" t="s">
        <v>925</v>
      </c>
      <c r="H95" t="s">
        <v>317</v>
      </c>
    </row>
    <row r="96" spans="2:8" x14ac:dyDescent="0.35">
      <c r="B96" t="s">
        <v>926</v>
      </c>
      <c r="H96" t="s">
        <v>318</v>
      </c>
    </row>
    <row r="97" spans="2:8" x14ac:dyDescent="0.35">
      <c r="B97" t="s">
        <v>103</v>
      </c>
      <c r="H97" t="s">
        <v>319</v>
      </c>
    </row>
    <row r="98" spans="2:8" x14ac:dyDescent="0.35">
      <c r="B98" t="s">
        <v>37</v>
      </c>
      <c r="H98" t="s">
        <v>320</v>
      </c>
    </row>
    <row r="99" spans="2:8" x14ac:dyDescent="0.35">
      <c r="B99" t="s">
        <v>927</v>
      </c>
      <c r="H99" t="s">
        <v>321</v>
      </c>
    </row>
    <row r="100" spans="2:8" x14ac:dyDescent="0.35">
      <c r="B100" t="s">
        <v>34</v>
      </c>
      <c r="H100" t="s">
        <v>907</v>
      </c>
    </row>
    <row r="101" spans="2:8" x14ac:dyDescent="0.35">
      <c r="B101" t="s">
        <v>928</v>
      </c>
      <c r="H101" t="s">
        <v>322</v>
      </c>
    </row>
    <row r="102" spans="2:8" x14ac:dyDescent="0.35">
      <c r="B102" t="s">
        <v>929</v>
      </c>
      <c r="H102" t="s">
        <v>323</v>
      </c>
    </row>
    <row r="103" spans="2:8" x14ac:dyDescent="0.35">
      <c r="B103" t="s">
        <v>103</v>
      </c>
      <c r="H103" t="s">
        <v>324</v>
      </c>
    </row>
    <row r="104" spans="2:8" x14ac:dyDescent="0.35">
      <c r="B104" t="s">
        <v>37</v>
      </c>
      <c r="H104" t="s">
        <v>325</v>
      </c>
    </row>
    <row r="105" spans="2:8" x14ac:dyDescent="0.35">
      <c r="B105" t="s">
        <v>44</v>
      </c>
      <c r="H105" t="s">
        <v>326</v>
      </c>
    </row>
    <row r="106" spans="2:8" x14ac:dyDescent="0.35">
      <c r="H106" t="s">
        <v>327</v>
      </c>
    </row>
    <row r="107" spans="2:8" x14ac:dyDescent="0.35">
      <c r="B107" t="s">
        <v>228</v>
      </c>
      <c r="H107" t="s">
        <v>37</v>
      </c>
    </row>
    <row r="108" spans="2:8" x14ac:dyDescent="0.35">
      <c r="B108" t="s">
        <v>30</v>
      </c>
      <c r="H108" t="s">
        <v>41</v>
      </c>
    </row>
    <row r="109" spans="2:8" x14ac:dyDescent="0.35">
      <c r="B109" t="s">
        <v>59</v>
      </c>
      <c r="H109" t="s">
        <v>336</v>
      </c>
    </row>
    <row r="110" spans="2:8" x14ac:dyDescent="0.35">
      <c r="B110" t="s">
        <v>142</v>
      </c>
      <c r="H110" t="s">
        <v>44</v>
      </c>
    </row>
    <row r="111" spans="2:8" x14ac:dyDescent="0.35">
      <c r="B111" t="s">
        <v>49</v>
      </c>
      <c r="H111" t="s">
        <v>328</v>
      </c>
    </row>
    <row r="112" spans="2:8" x14ac:dyDescent="0.35">
      <c r="B112" t="s">
        <v>50</v>
      </c>
    </row>
    <row r="113" spans="2:8" x14ac:dyDescent="0.35">
      <c r="B113" t="s">
        <v>132</v>
      </c>
      <c r="H113" t="s">
        <v>330</v>
      </c>
    </row>
    <row r="114" spans="2:8" x14ac:dyDescent="0.35">
      <c r="B114" t="s">
        <v>165</v>
      </c>
    </row>
    <row r="115" spans="2:8" x14ac:dyDescent="0.35">
      <c r="B115" t="s">
        <v>130</v>
      </c>
    </row>
    <row r="116" spans="2:8" x14ac:dyDescent="0.35">
      <c r="B116" t="s">
        <v>73</v>
      </c>
    </row>
    <row r="117" spans="2:8" x14ac:dyDescent="0.35">
      <c r="B117" t="s">
        <v>147</v>
      </c>
    </row>
    <row r="118" spans="2:8" x14ac:dyDescent="0.35">
      <c r="B118" t="s">
        <v>89</v>
      </c>
    </row>
    <row r="119" spans="2:8" x14ac:dyDescent="0.35">
      <c r="B119" t="s">
        <v>66</v>
      </c>
    </row>
    <row r="120" spans="2:8" x14ac:dyDescent="0.35">
      <c r="B120" t="s">
        <v>90</v>
      </c>
    </row>
    <row r="121" spans="2:8" x14ac:dyDescent="0.35">
      <c r="B121" t="s">
        <v>91</v>
      </c>
    </row>
    <row r="122" spans="2:8" x14ac:dyDescent="0.35">
      <c r="B122" t="s">
        <v>198</v>
      </c>
    </row>
    <row r="123" spans="2:8" x14ac:dyDescent="0.35">
      <c r="B123" t="s">
        <v>72</v>
      </c>
    </row>
    <row r="124" spans="2:8" x14ac:dyDescent="0.35">
      <c r="B124" t="s">
        <v>133</v>
      </c>
    </row>
    <row r="125" spans="2:8" x14ac:dyDescent="0.35">
      <c r="B125" t="s">
        <v>92</v>
      </c>
    </row>
    <row r="126" spans="2:8" x14ac:dyDescent="0.35">
      <c r="B126" t="s">
        <v>93</v>
      </c>
    </row>
    <row r="127" spans="2:8" x14ac:dyDescent="0.35">
      <c r="B127" t="s">
        <v>94</v>
      </c>
    </row>
    <row r="128" spans="2:8" x14ac:dyDescent="0.35">
      <c r="B128" t="s">
        <v>95</v>
      </c>
    </row>
    <row r="129" spans="2:2" x14ac:dyDescent="0.35">
      <c r="B129" t="s">
        <v>96</v>
      </c>
    </row>
    <row r="130" spans="2:2" x14ac:dyDescent="0.35">
      <c r="B130" t="s">
        <v>143</v>
      </c>
    </row>
    <row r="131" spans="2:2" x14ac:dyDescent="0.35">
      <c r="B131" t="s">
        <v>134</v>
      </c>
    </row>
    <row r="132" spans="2:2" x14ac:dyDescent="0.35">
      <c r="B132" t="s">
        <v>91</v>
      </c>
    </row>
    <row r="133" spans="2:2" x14ac:dyDescent="0.35">
      <c r="B133" t="s">
        <v>148</v>
      </c>
    </row>
    <row r="134" spans="2:2" x14ac:dyDescent="0.35">
      <c r="B134" t="s">
        <v>135</v>
      </c>
    </row>
    <row r="135" spans="2:2" x14ac:dyDescent="0.35">
      <c r="B135" t="s">
        <v>136</v>
      </c>
    </row>
    <row r="136" spans="2:2" x14ac:dyDescent="0.35">
      <c r="B136" t="s">
        <v>103</v>
      </c>
    </row>
    <row r="137" spans="2:2" x14ac:dyDescent="0.35">
      <c r="B137" t="s">
        <v>137</v>
      </c>
    </row>
    <row r="138" spans="2:2" x14ac:dyDescent="0.35">
      <c r="B138" t="s">
        <v>51</v>
      </c>
    </row>
    <row r="139" spans="2:2" x14ac:dyDescent="0.35">
      <c r="B139" t="s">
        <v>52</v>
      </c>
    </row>
    <row r="140" spans="2:2" x14ac:dyDescent="0.35">
      <c r="B140" t="s">
        <v>50</v>
      </c>
    </row>
    <row r="141" spans="2:2" x14ac:dyDescent="0.35">
      <c r="B141" t="s">
        <v>97</v>
      </c>
    </row>
    <row r="142" spans="2:2" x14ac:dyDescent="0.35">
      <c r="B142" t="s">
        <v>149</v>
      </c>
    </row>
    <row r="143" spans="2:2" x14ac:dyDescent="0.35">
      <c r="B143" t="s">
        <v>98</v>
      </c>
    </row>
    <row r="144" spans="2:2" x14ac:dyDescent="0.35">
      <c r="B144" t="s">
        <v>99</v>
      </c>
    </row>
    <row r="145" spans="2:2" x14ac:dyDescent="0.35">
      <c r="B145" t="s">
        <v>100</v>
      </c>
    </row>
    <row r="146" spans="2:2" x14ac:dyDescent="0.35">
      <c r="B146" t="s">
        <v>150</v>
      </c>
    </row>
    <row r="147" spans="2:2" x14ac:dyDescent="0.35">
      <c r="B147" t="s">
        <v>138</v>
      </c>
    </row>
    <row r="148" spans="2:2" x14ac:dyDescent="0.35">
      <c r="B148" t="s">
        <v>101</v>
      </c>
    </row>
    <row r="149" spans="2:2" x14ac:dyDescent="0.35">
      <c r="B149" t="s">
        <v>102</v>
      </c>
    </row>
    <row r="150" spans="2:2" x14ac:dyDescent="0.35">
      <c r="B150" t="s">
        <v>103</v>
      </c>
    </row>
    <row r="151" spans="2:2" x14ac:dyDescent="0.35">
      <c r="B151" t="s">
        <v>96</v>
      </c>
    </row>
    <row r="152" spans="2:2" x14ac:dyDescent="0.35">
      <c r="B152" t="s">
        <v>104</v>
      </c>
    </row>
    <row r="153" spans="2:2" x14ac:dyDescent="0.35">
      <c r="B153" t="s">
        <v>91</v>
      </c>
    </row>
    <row r="154" spans="2:2" x14ac:dyDescent="0.35">
      <c r="B154" t="s">
        <v>105</v>
      </c>
    </row>
    <row r="155" spans="2:2" x14ac:dyDescent="0.35">
      <c r="B155" t="s">
        <v>106</v>
      </c>
    </row>
    <row r="156" spans="2:2" x14ac:dyDescent="0.35">
      <c r="B156" t="s">
        <v>103</v>
      </c>
    </row>
    <row r="157" spans="2:2" x14ac:dyDescent="0.35">
      <c r="B157" t="s">
        <v>96</v>
      </c>
    </row>
    <row r="158" spans="2:2" x14ac:dyDescent="0.35">
      <c r="B158" t="s">
        <v>139</v>
      </c>
    </row>
    <row r="159" spans="2:2" x14ac:dyDescent="0.35">
      <c r="B159" t="s">
        <v>140</v>
      </c>
    </row>
    <row r="160" spans="2:2" x14ac:dyDescent="0.35">
      <c r="B160" t="s">
        <v>141</v>
      </c>
    </row>
    <row r="161" spans="2:2" x14ac:dyDescent="0.35">
      <c r="B161" t="s">
        <v>107</v>
      </c>
    </row>
    <row r="162" spans="2:2" x14ac:dyDescent="0.35">
      <c r="B162" t="s">
        <v>51</v>
      </c>
    </row>
    <row r="163" spans="2:2" x14ac:dyDescent="0.35">
      <c r="B163" t="s">
        <v>44</v>
      </c>
    </row>
    <row r="165" spans="2:2" x14ac:dyDescent="0.35">
      <c r="B165" t="s">
        <v>181</v>
      </c>
    </row>
    <row r="166" spans="2:2" x14ac:dyDescent="0.35">
      <c r="B166" t="s">
        <v>15</v>
      </c>
    </row>
    <row r="167" spans="2:2" x14ac:dyDescent="0.35">
      <c r="B167" t="s">
        <v>108</v>
      </c>
    </row>
    <row r="168" spans="2:2" x14ac:dyDescent="0.35">
      <c r="B168" t="s">
        <v>56</v>
      </c>
    </row>
    <row r="169" spans="2:2" x14ac:dyDescent="0.35">
      <c r="B169" t="s">
        <v>127</v>
      </c>
    </row>
    <row r="170" spans="2:2" x14ac:dyDescent="0.35">
      <c r="B170" t="s">
        <v>109</v>
      </c>
    </row>
    <row r="172" spans="2:2" x14ac:dyDescent="0.35">
      <c r="B172" t="s">
        <v>57</v>
      </c>
    </row>
    <row r="174" spans="2:2" x14ac:dyDescent="0.35">
      <c r="B174" t="s">
        <v>944</v>
      </c>
    </row>
    <row r="176" spans="2:2" x14ac:dyDescent="0.35">
      <c r="B176" t="s">
        <v>58</v>
      </c>
    </row>
    <row r="177" spans="2:2" x14ac:dyDescent="0.35">
      <c r="B177" t="s">
        <v>30</v>
      </c>
    </row>
    <row r="178" spans="2:2" x14ac:dyDescent="0.35">
      <c r="B178" t="s">
        <v>131</v>
      </c>
    </row>
    <row r="180" spans="2:2" x14ac:dyDescent="0.35">
      <c r="B180" t="s">
        <v>166</v>
      </c>
    </row>
    <row r="181" spans="2:2" x14ac:dyDescent="0.35">
      <c r="B181" t="s">
        <v>215</v>
      </c>
    </row>
    <row r="182" spans="2:2" x14ac:dyDescent="0.35">
      <c r="B182" t="s">
        <v>216</v>
      </c>
    </row>
    <row r="183" spans="2:2" x14ac:dyDescent="0.35">
      <c r="B183" t="s">
        <v>67</v>
      </c>
    </row>
    <row r="184" spans="2:2" x14ac:dyDescent="0.35">
      <c r="B184" t="s">
        <v>217</v>
      </c>
    </row>
    <row r="185" spans="2:2" x14ac:dyDescent="0.35">
      <c r="B185" t="s">
        <v>68</v>
      </c>
    </row>
    <row r="186" spans="2:2" x14ac:dyDescent="0.35">
      <c r="B186" t="s">
        <v>69</v>
      </c>
    </row>
    <row r="188" spans="2:2" x14ac:dyDescent="0.35">
      <c r="B188" t="s">
        <v>942</v>
      </c>
    </row>
    <row r="189" spans="2:2" x14ac:dyDescent="0.35">
      <c r="B189" t="s">
        <v>32</v>
      </c>
    </row>
    <row r="190" spans="2:2" x14ac:dyDescent="0.35">
      <c r="B190" t="s">
        <v>941</v>
      </c>
    </row>
    <row r="191" spans="2:2" x14ac:dyDescent="0.35">
      <c r="B191" t="s">
        <v>945</v>
      </c>
    </row>
    <row r="192" spans="2:2" x14ac:dyDescent="0.35">
      <c r="B192" t="s">
        <v>41</v>
      </c>
    </row>
    <row r="193" spans="2:2" x14ac:dyDescent="0.35">
      <c r="B193" t="s">
        <v>110</v>
      </c>
    </row>
    <row r="194" spans="2:2" x14ac:dyDescent="0.35">
      <c r="B194" t="s">
        <v>940</v>
      </c>
    </row>
    <row r="195" spans="2:2" x14ac:dyDescent="0.35">
      <c r="B195" t="s">
        <v>167</v>
      </c>
    </row>
    <row r="196" spans="2:2" x14ac:dyDescent="0.35">
      <c r="B196" t="s">
        <v>245</v>
      </c>
    </row>
    <row r="197" spans="2:2" x14ac:dyDescent="0.35">
      <c r="B197" t="s">
        <v>126</v>
      </c>
    </row>
    <row r="198" spans="2:2" x14ac:dyDescent="0.35">
      <c r="B198" t="s">
        <v>168</v>
      </c>
    </row>
    <row r="199" spans="2:2" x14ac:dyDescent="0.35">
      <c r="B199" t="s">
        <v>55</v>
      </c>
    </row>
    <row r="200" spans="2:2" x14ac:dyDescent="0.35">
      <c r="B200" t="s">
        <v>60</v>
      </c>
    </row>
    <row r="201" spans="2:2" x14ac:dyDescent="0.35">
      <c r="B201" t="s">
        <v>50</v>
      </c>
    </row>
    <row r="202" spans="2:2" x14ac:dyDescent="0.35">
      <c r="B202" t="s">
        <v>151</v>
      </c>
    </row>
    <row r="203" spans="2:2" x14ac:dyDescent="0.35">
      <c r="B203" t="s">
        <v>112</v>
      </c>
    </row>
    <row r="204" spans="2:2" x14ac:dyDescent="0.35">
      <c r="B204" t="s">
        <v>55</v>
      </c>
    </row>
    <row r="205" spans="2:2" x14ac:dyDescent="0.35">
      <c r="B205" t="s">
        <v>61</v>
      </c>
    </row>
    <row r="206" spans="2:2" x14ac:dyDescent="0.35">
      <c r="B206" t="s">
        <v>53</v>
      </c>
    </row>
    <row r="207" spans="2:2" x14ac:dyDescent="0.35">
      <c r="B207" t="s">
        <v>100</v>
      </c>
    </row>
    <row r="208" spans="2:2" x14ac:dyDescent="0.35">
      <c r="B208" t="s">
        <v>218</v>
      </c>
    </row>
    <row r="209" spans="2:2" x14ac:dyDescent="0.35">
      <c r="B209" t="s">
        <v>54</v>
      </c>
    </row>
    <row r="210" spans="2:2" x14ac:dyDescent="0.35">
      <c r="B210" t="s">
        <v>189</v>
      </c>
    </row>
    <row r="211" spans="2:2" x14ac:dyDescent="0.35">
      <c r="B211" t="s">
        <v>53</v>
      </c>
    </row>
    <row r="212" spans="2:2" x14ac:dyDescent="0.35">
      <c r="B212" t="s">
        <v>100</v>
      </c>
    </row>
    <row r="213" spans="2:2" x14ac:dyDescent="0.35">
      <c r="B213" t="s">
        <v>219</v>
      </c>
    </row>
    <row r="214" spans="2:2" x14ac:dyDescent="0.35">
      <c r="B214" t="s">
        <v>239</v>
      </c>
    </row>
    <row r="215" spans="2:2" x14ac:dyDescent="0.35">
      <c r="B215" t="s">
        <v>73</v>
      </c>
    </row>
    <row r="216" spans="2:2" x14ac:dyDescent="0.35">
      <c r="B216" t="s">
        <v>220</v>
      </c>
    </row>
    <row r="217" spans="2:2" x14ac:dyDescent="0.35">
      <c r="B217" t="s">
        <v>221</v>
      </c>
    </row>
    <row r="218" spans="2:2" x14ac:dyDescent="0.35">
      <c r="B218" t="s">
        <v>246</v>
      </c>
    </row>
    <row r="219" spans="2:2" x14ac:dyDescent="0.35">
      <c r="B219" t="s">
        <v>205</v>
      </c>
    </row>
    <row r="220" spans="2:2" x14ac:dyDescent="0.35">
      <c r="B220" t="s">
        <v>145</v>
      </c>
    </row>
    <row r="221" spans="2:2" x14ac:dyDescent="0.35">
      <c r="B221" t="s">
        <v>240</v>
      </c>
    </row>
    <row r="222" spans="2:2" x14ac:dyDescent="0.35">
      <c r="B222" t="s">
        <v>939</v>
      </c>
    </row>
    <row r="223" spans="2:2" x14ac:dyDescent="0.35">
      <c r="B223" t="s">
        <v>930</v>
      </c>
    </row>
    <row r="224" spans="2:2" x14ac:dyDescent="0.35">
      <c r="B224" t="s">
        <v>931</v>
      </c>
    </row>
    <row r="225" spans="2:2" x14ac:dyDescent="0.35">
      <c r="B225" t="s">
        <v>932</v>
      </c>
    </row>
    <row r="226" spans="2:2" x14ac:dyDescent="0.35">
      <c r="B226" t="s">
        <v>933</v>
      </c>
    </row>
    <row r="227" spans="2:2" x14ac:dyDescent="0.35">
      <c r="B227" t="s">
        <v>930</v>
      </c>
    </row>
    <row r="228" spans="2:2" x14ac:dyDescent="0.35">
      <c r="B228" t="s">
        <v>934</v>
      </c>
    </row>
    <row r="229" spans="2:2" x14ac:dyDescent="0.35">
      <c r="B229" t="s">
        <v>932</v>
      </c>
    </row>
    <row r="230" spans="2:2" x14ac:dyDescent="0.35">
      <c r="B230" t="s">
        <v>210</v>
      </c>
    </row>
    <row r="231" spans="2:2" x14ac:dyDescent="0.35">
      <c r="B231" t="s">
        <v>238</v>
      </c>
    </row>
    <row r="232" spans="2:2" x14ac:dyDescent="0.35">
      <c r="B232" t="s">
        <v>205</v>
      </c>
    </row>
    <row r="233" spans="2:2" x14ac:dyDescent="0.35">
      <c r="B233" t="s">
        <v>145</v>
      </c>
    </row>
    <row r="234" spans="2:2" x14ac:dyDescent="0.35">
      <c r="B234" t="s">
        <v>222</v>
      </c>
    </row>
    <row r="235" spans="2:2" x14ac:dyDescent="0.35">
      <c r="B235" t="s">
        <v>939</v>
      </c>
    </row>
    <row r="236" spans="2:2" x14ac:dyDescent="0.35">
      <c r="B236" t="s">
        <v>930</v>
      </c>
    </row>
    <row r="237" spans="2:2" x14ac:dyDescent="0.35">
      <c r="B237" t="s">
        <v>948</v>
      </c>
    </row>
    <row r="238" spans="2:2" x14ac:dyDescent="0.35">
      <c r="B238" t="s">
        <v>932</v>
      </c>
    </row>
    <row r="239" spans="2:2" x14ac:dyDescent="0.35">
      <c r="B239" t="s">
        <v>933</v>
      </c>
    </row>
    <row r="240" spans="2:2" x14ac:dyDescent="0.35">
      <c r="B240" t="s">
        <v>930</v>
      </c>
    </row>
    <row r="241" spans="2:2" x14ac:dyDescent="0.35">
      <c r="B241" t="s">
        <v>949</v>
      </c>
    </row>
    <row r="242" spans="2:2" x14ac:dyDescent="0.35">
      <c r="B242" t="s">
        <v>932</v>
      </c>
    </row>
    <row r="243" spans="2:2" x14ac:dyDescent="0.35">
      <c r="B243" t="s">
        <v>210</v>
      </c>
    </row>
    <row r="244" spans="2:2" x14ac:dyDescent="0.35">
      <c r="B244" t="s">
        <v>223</v>
      </c>
    </row>
    <row r="245" spans="2:2" x14ac:dyDescent="0.35">
      <c r="B245" t="s">
        <v>54</v>
      </c>
    </row>
    <row r="246" spans="2:2" x14ac:dyDescent="0.35">
      <c r="B246" t="s">
        <v>62</v>
      </c>
    </row>
    <row r="247" spans="2:2" x14ac:dyDescent="0.35">
      <c r="B247" t="s">
        <v>53</v>
      </c>
    </row>
    <row r="248" spans="2:2" x14ac:dyDescent="0.35">
      <c r="B248" t="s">
        <v>220</v>
      </c>
    </row>
    <row r="249" spans="2:2" x14ac:dyDescent="0.35">
      <c r="B249" t="s">
        <v>72</v>
      </c>
    </row>
    <row r="250" spans="2:2" x14ac:dyDescent="0.35">
      <c r="B250" t="s">
        <v>246</v>
      </c>
    </row>
    <row r="251" spans="2:2" x14ac:dyDescent="0.35">
      <c r="B251" t="s">
        <v>205</v>
      </c>
    </row>
    <row r="252" spans="2:2" x14ac:dyDescent="0.35">
      <c r="B252" t="s">
        <v>145</v>
      </c>
    </row>
    <row r="253" spans="2:2" x14ac:dyDescent="0.35">
      <c r="B253" t="s">
        <v>240</v>
      </c>
    </row>
    <row r="254" spans="2:2" x14ac:dyDescent="0.35">
      <c r="B254" t="s">
        <v>939</v>
      </c>
    </row>
    <row r="255" spans="2:2" x14ac:dyDescent="0.35">
      <c r="B255" t="s">
        <v>930</v>
      </c>
    </row>
    <row r="256" spans="2:2" x14ac:dyDescent="0.35">
      <c r="B256" t="s">
        <v>931</v>
      </c>
    </row>
    <row r="257" spans="2:2" x14ac:dyDescent="0.35">
      <c r="B257" t="s">
        <v>932</v>
      </c>
    </row>
    <row r="258" spans="2:2" x14ac:dyDescent="0.35">
      <c r="B258" t="s">
        <v>933</v>
      </c>
    </row>
    <row r="259" spans="2:2" x14ac:dyDescent="0.35">
      <c r="B259" t="s">
        <v>930</v>
      </c>
    </row>
    <row r="260" spans="2:2" x14ac:dyDescent="0.35">
      <c r="B260" t="s">
        <v>950</v>
      </c>
    </row>
    <row r="261" spans="2:2" x14ac:dyDescent="0.35">
      <c r="B261" t="s">
        <v>932</v>
      </c>
    </row>
    <row r="262" spans="2:2" x14ac:dyDescent="0.35">
      <c r="B262" t="s">
        <v>210</v>
      </c>
    </row>
    <row r="263" spans="2:2" x14ac:dyDescent="0.35">
      <c r="B263" t="s">
        <v>238</v>
      </c>
    </row>
    <row r="264" spans="2:2" x14ac:dyDescent="0.35">
      <c r="B264" t="s">
        <v>205</v>
      </c>
    </row>
    <row r="265" spans="2:2" x14ac:dyDescent="0.35">
      <c r="B265" t="s">
        <v>145</v>
      </c>
    </row>
    <row r="266" spans="2:2" x14ac:dyDescent="0.35">
      <c r="B266" t="s">
        <v>222</v>
      </c>
    </row>
    <row r="267" spans="2:2" x14ac:dyDescent="0.35">
      <c r="B267" t="s">
        <v>939</v>
      </c>
    </row>
    <row r="268" spans="2:2" x14ac:dyDescent="0.35">
      <c r="B268" t="s">
        <v>930</v>
      </c>
    </row>
    <row r="269" spans="2:2" x14ac:dyDescent="0.35">
      <c r="B269" t="s">
        <v>948</v>
      </c>
    </row>
    <row r="270" spans="2:2" x14ac:dyDescent="0.35">
      <c r="B270" t="s">
        <v>932</v>
      </c>
    </row>
    <row r="271" spans="2:2" x14ac:dyDescent="0.35">
      <c r="B271" t="s">
        <v>933</v>
      </c>
    </row>
    <row r="272" spans="2:2" x14ac:dyDescent="0.35">
      <c r="B272" t="s">
        <v>930</v>
      </c>
    </row>
    <row r="273" spans="2:2" x14ac:dyDescent="0.35">
      <c r="B273" t="s">
        <v>949</v>
      </c>
    </row>
    <row r="274" spans="2:2" x14ac:dyDescent="0.35">
      <c r="B274" t="s">
        <v>932</v>
      </c>
    </row>
    <row r="275" spans="2:2" x14ac:dyDescent="0.35">
      <c r="B275" t="s">
        <v>935</v>
      </c>
    </row>
    <row r="276" spans="2:2" x14ac:dyDescent="0.35">
      <c r="B276" t="s">
        <v>211</v>
      </c>
    </row>
    <row r="277" spans="2:2" x14ac:dyDescent="0.35">
      <c r="B277" t="s">
        <v>96</v>
      </c>
    </row>
    <row r="278" spans="2:2" x14ac:dyDescent="0.35">
      <c r="B278" t="s">
        <v>51</v>
      </c>
    </row>
    <row r="279" spans="2:2" x14ac:dyDescent="0.35">
      <c r="B279" t="s">
        <v>70</v>
      </c>
    </row>
    <row r="280" spans="2:2" x14ac:dyDescent="0.35">
      <c r="B280" t="s">
        <v>50</v>
      </c>
    </row>
    <row r="281" spans="2:2" x14ac:dyDescent="0.35">
      <c r="B281" t="s">
        <v>97</v>
      </c>
    </row>
    <row r="282" spans="2:2" x14ac:dyDescent="0.35">
      <c r="B282" t="s">
        <v>224</v>
      </c>
    </row>
    <row r="283" spans="2:2" x14ac:dyDescent="0.35">
      <c r="B283" t="s">
        <v>51</v>
      </c>
    </row>
    <row r="284" spans="2:2" x14ac:dyDescent="0.35">
      <c r="B284" t="s">
        <v>230</v>
      </c>
    </row>
    <row r="285" spans="2:2" x14ac:dyDescent="0.35">
      <c r="B285" t="s">
        <v>50</v>
      </c>
    </row>
    <row r="286" spans="2:2" x14ac:dyDescent="0.35">
      <c r="B286" t="s">
        <v>97</v>
      </c>
    </row>
    <row r="287" spans="2:2" x14ac:dyDescent="0.35">
      <c r="B287" t="s">
        <v>229</v>
      </c>
    </row>
    <row r="288" spans="2:2" x14ac:dyDescent="0.35">
      <c r="B288" t="s">
        <v>51</v>
      </c>
    </row>
    <row r="289" spans="2:2" x14ac:dyDescent="0.35">
      <c r="B289" t="s">
        <v>144</v>
      </c>
    </row>
    <row r="290" spans="2:2" x14ac:dyDescent="0.35">
      <c r="B290" t="s">
        <v>44</v>
      </c>
    </row>
    <row r="291" spans="2:2" x14ac:dyDescent="0.35">
      <c r="B291" t="s">
        <v>56</v>
      </c>
    </row>
    <row r="292" spans="2:2" x14ac:dyDescent="0.35">
      <c r="B292" t="s">
        <v>911</v>
      </c>
    </row>
    <row r="293" spans="2:2" x14ac:dyDescent="0.35">
      <c r="B293" t="s">
        <v>30</v>
      </c>
    </row>
    <row r="294" spans="2:2" x14ac:dyDescent="0.35">
      <c r="B294" t="s">
        <v>912</v>
      </c>
    </row>
    <row r="295" spans="2:2" x14ac:dyDescent="0.35">
      <c r="B295" t="s">
        <v>44</v>
      </c>
    </row>
    <row r="296" spans="2:2" x14ac:dyDescent="0.35">
      <c r="B296" t="s">
        <v>913</v>
      </c>
    </row>
    <row r="297" spans="2:2" x14ac:dyDescent="0.35">
      <c r="B297" t="s">
        <v>30</v>
      </c>
    </row>
    <row r="298" spans="2:2" x14ac:dyDescent="0.35">
      <c r="B298" t="s">
        <v>914</v>
      </c>
    </row>
    <row r="299" spans="2:2" x14ac:dyDescent="0.35">
      <c r="B299" t="s">
        <v>915</v>
      </c>
    </row>
    <row r="300" spans="2:2" x14ac:dyDescent="0.35">
      <c r="B300" t="s">
        <v>63</v>
      </c>
    </row>
    <row r="301" spans="2:2" x14ac:dyDescent="0.35">
      <c r="B301" t="s">
        <v>111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42</vt:i4>
      </vt:variant>
    </vt:vector>
  </HeadingPairs>
  <TitlesOfParts>
    <vt:vector size="51" baseType="lpstr">
      <vt:lpstr>Info</vt:lpstr>
      <vt:lpstr>Mailboxes</vt:lpstr>
      <vt:lpstr>Planned_Batch</vt:lpstr>
      <vt:lpstr>Moved</vt:lpstr>
      <vt:lpstr>Move_Request_Statistics</vt:lpstr>
      <vt:lpstr>License_Report</vt:lpstr>
      <vt:lpstr>Licensing Pivot Chart</vt:lpstr>
      <vt:lpstr>Version Changes</vt:lpstr>
      <vt:lpstr>Scripts</vt:lpstr>
      <vt:lpstr>License_Report!CAPTURE</vt:lpstr>
      <vt:lpstr>Move_Request_Statistics!CAPTURE</vt:lpstr>
      <vt:lpstr>License_Report!CAPTURE_10</vt:lpstr>
      <vt:lpstr>Move_Request_Statistics!CAPTURE_10</vt:lpstr>
      <vt:lpstr>License_Report!CAPTURE_11</vt:lpstr>
      <vt:lpstr>Move_Request_Statistics!CAPTURE_11</vt:lpstr>
      <vt:lpstr>License_Report!CAPTURE_12</vt:lpstr>
      <vt:lpstr>Move_Request_Statistics!CAPTURE_12</vt:lpstr>
      <vt:lpstr>License_Report!CAPTURE_13</vt:lpstr>
      <vt:lpstr>Move_Request_Statistics!CAPTURE_13</vt:lpstr>
      <vt:lpstr>License_Report!CAPTURE_14</vt:lpstr>
      <vt:lpstr>Move_Request_Statistics!CAPTURE_14</vt:lpstr>
      <vt:lpstr>License_Report!CAPTURE_15</vt:lpstr>
      <vt:lpstr>Move_Request_Statistics!CAPTURE_15</vt:lpstr>
      <vt:lpstr>License_Report!CAPTURE_16</vt:lpstr>
      <vt:lpstr>Move_Request_Statistics!CAPTURE_16</vt:lpstr>
      <vt:lpstr>License_Report!CAPTURE_17</vt:lpstr>
      <vt:lpstr>Move_Request_Statistics!CAPTURE_17</vt:lpstr>
      <vt:lpstr>License_Report!CAPTURE_18</vt:lpstr>
      <vt:lpstr>License_Report!CAPTURE_19</vt:lpstr>
      <vt:lpstr>License_Report!CAPTURE_2</vt:lpstr>
      <vt:lpstr>License_Report!CAPTURE_20</vt:lpstr>
      <vt:lpstr>License_Report!CAPTURE_21</vt:lpstr>
      <vt:lpstr>License_Report!CAPTURE_22</vt:lpstr>
      <vt:lpstr>License_Report!CAPTURE_23</vt:lpstr>
      <vt:lpstr>License_Report!CAPTURE_24</vt:lpstr>
      <vt:lpstr>License_Report!CAPTURE_25</vt:lpstr>
      <vt:lpstr>Mailboxes!CAPTURE_25</vt:lpstr>
      <vt:lpstr>License_Report!CAPTURE_3</vt:lpstr>
      <vt:lpstr>Move_Request_Statistics!CAPTURE_3</vt:lpstr>
      <vt:lpstr>License_Report!CAPTURE_4</vt:lpstr>
      <vt:lpstr>Move_Request_Statistics!CAPTURE_4</vt:lpstr>
      <vt:lpstr>License_Report!CAPTURE_5</vt:lpstr>
      <vt:lpstr>Move_Request_Statistics!CAPTURE_5</vt:lpstr>
      <vt:lpstr>License_Report!CAPTURE_6</vt:lpstr>
      <vt:lpstr>Move_Request_Statistics!CAPTURE_6</vt:lpstr>
      <vt:lpstr>License_Report!CAPTURE_7</vt:lpstr>
      <vt:lpstr>Move_Request_Statistics!CAPTURE_7</vt:lpstr>
      <vt:lpstr>License_Report!CAPTURE_8</vt:lpstr>
      <vt:lpstr>Move_Request_Statistics!CAPTURE_8</vt:lpstr>
      <vt:lpstr>Move_Request_Statistics!CAPTURE_9</vt:lpstr>
      <vt:lpstr>Planned_Batch!New_Text_Document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Hall (MCS)</dc:creator>
  <cp:lastModifiedBy>Stensitzki, Thomas</cp:lastModifiedBy>
  <dcterms:created xsi:type="dcterms:W3CDTF">2013-05-13T10:11:44Z</dcterms:created>
  <dcterms:modified xsi:type="dcterms:W3CDTF">2015-09-22T08:22:10Z</dcterms:modified>
</cp:coreProperties>
</file>